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23" documentId="8_{3E9A52BB-91DC-4C35-9143-C58B0329AD3C}" xr6:coauthVersionLast="47" xr6:coauthVersionMax="47" xr10:uidLastSave="{DFB65832-2865-42EF-B457-A06DF13344BF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2" i="1"/>
</calcChain>
</file>

<file path=xl/sharedStrings.xml><?xml version="1.0" encoding="utf-8"?>
<sst xmlns="http://schemas.openxmlformats.org/spreadsheetml/2006/main" count="689" uniqueCount="302">
  <si>
    <t>ACT_CODE</t>
  </si>
  <si>
    <t>ART_CNDC</t>
  </si>
  <si>
    <t>ART_CNDO</t>
  </si>
  <si>
    <t>ART_CNDP</t>
  </si>
  <si>
    <t>ART_CNDS</t>
  </si>
  <si>
    <t>ART_CNDU</t>
  </si>
  <si>
    <t>ART_CODE</t>
  </si>
  <si>
    <t>ART_LIB1</t>
  </si>
  <si>
    <t>ART_LIB2</t>
  </si>
  <si>
    <t>ART_LIB3</t>
  </si>
  <si>
    <t>ART_LIB4</t>
  </si>
  <si>
    <t>ART_LIB5</t>
  </si>
  <si>
    <t>ART_LIB6</t>
  </si>
  <si>
    <t>ART_NIV1</t>
  </si>
  <si>
    <t>ART_NIV2</t>
  </si>
  <si>
    <t>ART_NIV3</t>
  </si>
  <si>
    <t>ART_NIV4</t>
  </si>
  <si>
    <t>ART_NIV5</t>
  </si>
  <si>
    <t>ART_NIV6</t>
  </si>
  <si>
    <t>ART_QTEC</t>
  </si>
  <si>
    <t>ART_QTEO</t>
  </si>
  <si>
    <t>ART_QTEP</t>
  </si>
  <si>
    <t>ART_QTES</t>
  </si>
  <si>
    <t>ART_QTEU</t>
  </si>
  <si>
    <t>DOS_CODE</t>
  </si>
  <si>
    <t>GAB_CODE</t>
  </si>
  <si>
    <t>IVE_CODE</t>
  </si>
  <si>
    <t>IVE_DATE</t>
  </si>
  <si>
    <t>IVE_MODA</t>
  </si>
  <si>
    <t>IVE_MOHE</t>
  </si>
  <si>
    <t>IVE_MOQI</t>
  </si>
  <si>
    <t>MIE NOMI</t>
  </si>
  <si>
    <t>MIL_GRPB</t>
  </si>
  <si>
    <t>MIL_MOT</t>
  </si>
  <si>
    <t>MIL_NOLM</t>
  </si>
  <si>
    <t>MOT_CODE</t>
  </si>
  <si>
    <t>MOT_LIB</t>
  </si>
  <si>
    <t>MVT_ALPHA1</t>
  </si>
  <si>
    <t>MVT_ALPHA2</t>
  </si>
  <si>
    <t>MVT_ALPHA3</t>
  </si>
  <si>
    <t>MVT ALPHA4</t>
  </si>
  <si>
    <t>MVT_ALPHA5</t>
  </si>
  <si>
    <t>MVT_ALPHA6</t>
  </si>
  <si>
    <t>MVT ALPHA7</t>
  </si>
  <si>
    <t>MVT_ALPHA8</t>
  </si>
  <si>
    <t>MVT ALPHA9</t>
  </si>
  <si>
    <t>MVT_ALPHA10</t>
  </si>
  <si>
    <t>MVT_ARTP</t>
  </si>
  <si>
    <t>MVT_CFIS</t>
  </si>
  <si>
    <t>MVT_CRDA</t>
  </si>
  <si>
    <t>MVT_CRFE</t>
  </si>
  <si>
    <t>MVT_CRHE</t>
  </si>
  <si>
    <t>MVT_CRQI</t>
  </si>
  <si>
    <t>MVT_DATE</t>
  </si>
  <si>
    <t>MVT_DATE1</t>
  </si>
  <si>
    <t>MVT_DATE2</t>
  </si>
  <si>
    <t>MVT_DATEЗ</t>
  </si>
  <si>
    <t>MVT_DATE4</t>
  </si>
  <si>
    <t>MVT_DATE5</t>
  </si>
  <si>
    <t>MVT_DAVA</t>
  </si>
  <si>
    <t>MVT_EANC</t>
  </si>
  <si>
    <t>MVT EANO</t>
  </si>
  <si>
    <t>MVT_EANP</t>
  </si>
  <si>
    <t>MVT_EANS</t>
  </si>
  <si>
    <t>MVT_EANU</t>
  </si>
  <si>
    <t>MVT_HEUE</t>
  </si>
  <si>
    <t>MVT_HEURE1</t>
  </si>
  <si>
    <t>MVT_HEURE2</t>
  </si>
  <si>
    <t>MVT_HEURE3</t>
  </si>
  <si>
    <t>MVT_HEURE4</t>
  </si>
  <si>
    <t>MVT_HEURE5</t>
  </si>
  <si>
    <t>MVT_KEYU</t>
  </si>
  <si>
    <t>MVT_LOTP</t>
  </si>
  <si>
    <t>MVT_MODA</t>
  </si>
  <si>
    <t>MVT_MOHE</t>
  </si>
  <si>
    <t>MVT_MOQI</t>
  </si>
  <si>
    <t>MVT_MOT</t>
  </si>
  <si>
    <t>MVT_NoMV</t>
  </si>
  <si>
    <t>MVT_NOOP</t>
  </si>
  <si>
    <t>MVT_NOTR</t>
  </si>
  <si>
    <t>MVT_NUM1</t>
  </si>
  <si>
    <t>MVT_NUM2</t>
  </si>
  <si>
    <t>MVT_NUM3</t>
  </si>
  <si>
    <t>MVT_NUM4</t>
  </si>
  <si>
    <t>MVT_NUM5</t>
  </si>
  <si>
    <t>MVT_POIV</t>
  </si>
  <si>
    <t>MVT_QINV</t>
  </si>
  <si>
    <t>MVT_QTE</t>
  </si>
  <si>
    <t>MVT REDA</t>
  </si>
  <si>
    <t>MVT REF</t>
  </si>
  <si>
    <t>MVT_REHE</t>
  </si>
  <si>
    <t>MVT_REQI</t>
  </si>
  <si>
    <t>MVT_RETP</t>
  </si>
  <si>
    <t>MVT_SENS</t>
  </si>
  <si>
    <t>MVT_TCTR</t>
  </si>
  <si>
    <t>MVT_TOP1</t>
  </si>
  <si>
    <t>MVT_TOP2</t>
  </si>
  <si>
    <t>MVT_TOP3</t>
  </si>
  <si>
    <t>MVT_TOP4</t>
  </si>
  <si>
    <t>MVT_TOP5</t>
  </si>
  <si>
    <t>MVT TOPE</t>
  </si>
  <si>
    <t>MVT_TPEC</t>
  </si>
  <si>
    <t>OFE_NOOE</t>
  </si>
  <si>
    <t>OFE_REF</t>
  </si>
  <si>
    <t>OFF_NORL</t>
  </si>
  <si>
    <t>OFL_NOOL</t>
  </si>
  <si>
    <t>OPE_NOOE</t>
  </si>
  <si>
    <t>OPE_REDO</t>
  </si>
  <si>
    <t>OPE_RTIE</t>
  </si>
  <si>
    <t>OPE_TYCO</t>
  </si>
  <si>
    <t>OPL NOOL</t>
  </si>
  <si>
    <t>QUA_CODE</t>
  </si>
  <si>
    <t>REA_CTAD</t>
  </si>
  <si>
    <t>REA_CTAF</t>
  </si>
  <si>
    <t>REA_NOLR</t>
  </si>
  <si>
    <t>REA RFAF</t>
  </si>
  <si>
    <t>REA_RFCE</t>
  </si>
  <si>
    <t>REA RFCL</t>
  </si>
  <si>
    <t>REA_RFTI</t>
  </si>
  <si>
    <t>REL_NORL</t>
  </si>
  <si>
    <t>SDO CODE</t>
  </si>
  <si>
    <t>STK SSUP</t>
  </si>
  <si>
    <t>STK_SURG</t>
  </si>
  <si>
    <t>STK TOP1</t>
  </si>
  <si>
    <t>STK TOP2</t>
  </si>
  <si>
    <t>STK_TOP3</t>
  </si>
  <si>
    <t>STK TOP4</t>
  </si>
  <si>
    <t>STK TOP5</t>
  </si>
  <si>
    <t>STK ZONE</t>
  </si>
  <si>
    <t>STK ZONP</t>
  </si>
  <si>
    <t>TIE_CODE</t>
  </si>
  <si>
    <t>TIE LIB1</t>
  </si>
  <si>
    <t>TIE_LIB2</t>
  </si>
  <si>
    <t>TIE_LIB3</t>
  </si>
  <si>
    <t>TIE_LIB4</t>
  </si>
  <si>
    <t>Activity Code</t>
  </si>
  <si>
    <t>Packaging - Box</t>
  </si>
  <si>
    <t>Packaging- Layer</t>
  </si>
  <si>
    <t>Packaging - Pallet</t>
  </si>
  <si>
    <t>Packaging-SPCB</t>
  </si>
  <si>
    <t>Packaging - Unit</t>
  </si>
  <si>
    <t>Article Code</t>
  </si>
  <si>
    <t>Reserved BK</t>
  </si>
  <si>
    <t>Quantity - Box</t>
  </si>
  <si>
    <t>Quantity - Layer</t>
  </si>
  <si>
    <t>Quantity - Pallet</t>
  </si>
  <si>
    <t>Quantity - SPCB</t>
  </si>
  <si>
    <t>Quantity - Unit</t>
  </si>
  <si>
    <t>Folder Code</t>
  </si>
  <si>
    <t>Template Code</t>
  </si>
  <si>
    <t>Inventory Code</t>
  </si>
  <si>
    <t>Inventory Date</t>
  </si>
  <si>
    <t>Inventory Modification Date</t>
  </si>
  <si>
    <t>Inventory Modification Time</t>
  </si>
  <si>
    <t>Inventory Modified By</t>
  </si>
  <si>
    <t>Mission Number</t>
  </si>
  <si>
    <t>BP Grouping Code</t>
  </si>
  <si>
    <t>Withdrawal Reason</t>
  </si>
  <si>
    <t>Mission Line Number</t>
  </si>
  <si>
    <t>Reason Code</t>
  </si>
  <si>
    <t>Reason Label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</si>
  <si>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</si>
  <si>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</si>
  <si>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</si>
  <si>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</si>
  <si>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</si>
  <si>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</si>
  <si>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</si>
  <si>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</si>
  <si>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</si>
  <si>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</si>
  <si>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Product Article Code</t>
  </si>
  <si>
    <t>Taxation Type Code</t>
  </si>
  <si>
    <t>Movement Creation Date</t>
  </si>
  <si>
    <t>Call Window</t>
  </si>
  <si>
    <t>Movement Creation Time</t>
  </si>
  <si>
    <t>Movement Created By</t>
  </si>
  <si>
    <t>Extraction Date</t>
  </si>
  <si>
    <t>Additional Info D01</t>
  </si>
  <si>
    <t>Additional Info D02</t>
  </si>
  <si>
    <t>Additional Info D03</t>
  </si>
  <si>
    <t>Additional Info D04</t>
  </si>
  <si>
    <t>Additional Info D05</t>
  </si>
  <si>
    <t>Value Date</t>
  </si>
  <si>
    <t>Extraction Time</t>
  </si>
  <si>
    <t>Additional Info H01</t>
  </si>
  <si>
    <t>Additional Info H02</t>
  </si>
  <si>
    <t>Additional Info H03</t>
  </si>
  <si>
    <t>Additional Info H04</t>
  </si>
  <si>
    <t>Additional Info H05</t>
  </si>
  <si>
    <t>Traceability Identifier</t>
  </si>
  <si>
    <t>Product Lot</t>
  </si>
  <si>
    <t>Movement Modification Date</t>
  </si>
  <si>
    <t>Movement Modification Time</t>
  </si>
  <si>
    <t>Movement Modified By</t>
  </si>
  <si>
    <t>Movement Reason</t>
  </si>
  <si>
    <t>Movement Number</t>
  </si>
  <si>
    <t>Operation Number</t>
  </si>
  <si>
    <t>Transaction Number</t>
  </si>
  <si>
    <t>Additional Info N01</t>
  </si>
  <si>
    <t>Additional Info N02</t>
  </si>
  <si>
    <t>Additional Info N03</t>
  </si>
  <si>
    <t>Additional Info N04</t>
  </si>
  <si>
    <t>Additional Info N05</t>
  </si>
  <si>
    <t>Variable Weight</t>
  </si>
  <si>
    <t>Inventory Quantity</t>
  </si>
  <si>
    <t>Movement Quantity</t>
  </si>
  <si>
    <t>Date Recorded in Control Book</t>
  </si>
  <si>
    <t>Movement Reference</t>
  </si>
  <si>
    <t>Time Recorded in Control Book</t>
  </si>
  <si>
    <t>Profile Recorded in Control Book</t>
  </si>
  <si>
    <t>Control Book Flag</t>
  </si>
  <si>
    <t>Direction</t>
  </si>
  <si>
    <t>Transfer Order Flag</t>
  </si>
  <si>
    <t>Additional Info T01</t>
  </si>
  <si>
    <t>Additional Info T02</t>
  </si>
  <si>
    <t>Additional Info T03</t>
  </si>
  <si>
    <t>Additional Info T04</t>
  </si>
  <si>
    <t>Additional Info T05</t>
  </si>
  <si>
    <t>Extract Flag</t>
  </si>
  <si>
    <t>Inventory Difference Flag</t>
  </si>
  <si>
    <t>OF Number</t>
  </si>
  <si>
    <t>OF Reference</t>
  </si>
  <si>
    <t>Production Line Number</t>
  </si>
  <si>
    <t>Line Number</t>
  </si>
  <si>
    <t>Order Number</t>
  </si>
  <si>
    <t>Order Giver Reference</t>
  </si>
  <si>
    <t>Third Party Reference</t>
  </si>
  <si>
    <t>Order Type</t>
  </si>
  <si>
    <t>Order Line Number</t>
  </si>
  <si>
    <t>Quality Code</t>
  </si>
  <si>
    <t>Recipient Third Party Code</t>
  </si>
  <si>
    <t>Supplier Third Party Code</t>
  </si>
  <si>
    <t>Expected Line Number</t>
  </si>
  <si>
    <t>Assignment Reference</t>
  </si>
  <si>
    <t>DO Header Reference</t>
  </si>
  <si>
    <t>DO Line Reference</t>
  </si>
  <si>
    <t>Reception Line Number</t>
  </si>
  <si>
    <t>Customs status</t>
  </si>
  <si>
    <t>Support Status</t>
  </si>
  <si>
    <t>Grouping Support</t>
  </si>
  <si>
    <t>Location Zone</t>
  </si>
  <si>
    <t>Planned Location Zone</t>
  </si>
  <si>
    <t>Preparation Third Party Code</t>
  </si>
  <si>
    <t>VARCHAR(10)</t>
  </si>
  <si>
    <t>VARCHAR(15)</t>
  </si>
  <si>
    <t>VARCHAR(35)</t>
  </si>
  <si>
    <t>VARCHAR(50)</t>
  </si>
  <si>
    <t>BIGINT</t>
  </si>
  <si>
    <t>VARCHAR(25)</t>
  </si>
  <si>
    <t>DATETIME</t>
  </si>
  <si>
    <t>VARCHAR(6)</t>
  </si>
  <si>
    <t>NUMERIC(10)</t>
  </si>
  <si>
    <t>VARCHAR(5)</t>
  </si>
  <si>
    <t>VARCHAR(30)</t>
  </si>
  <si>
    <t>INT</t>
  </si>
  <si>
    <t>VARCHAR(100)</t>
  </si>
  <si>
    <t>FLOAT</t>
  </si>
  <si>
    <t>VARCHAR(8)</t>
  </si>
  <si>
    <t>TINYINT</t>
  </si>
  <si>
    <t>VARCHAR(1)</t>
  </si>
  <si>
    <t>VARCHAR(20)</t>
  </si>
  <si>
    <t>NVARCHAR2(10)</t>
  </si>
  <si>
    <t>NVARCHAR2(15)</t>
  </si>
  <si>
    <t>NVARCHAR2(35)</t>
  </si>
  <si>
    <t>NVARCHAR2(50)</t>
  </si>
  <si>
    <t>INTEGER</t>
  </si>
  <si>
    <t>NVARCHAR2(25)</t>
  </si>
  <si>
    <t>NCHAR(8)</t>
  </si>
  <si>
    <t>NVARCHAR2(6)</t>
  </si>
  <si>
    <t>NVARCHAR2(5)</t>
  </si>
  <si>
    <t>NVARCHAR2(30)</t>
  </si>
  <si>
    <t>NVARCHAR2(100)</t>
  </si>
  <si>
    <t>NVARCHAR2(8)</t>
  </si>
  <si>
    <t>SMALLINT</t>
  </si>
  <si>
    <t>NVARCHAR2(1)</t>
  </si>
  <si>
    <t>NVARCHAR2(20)</t>
  </si>
  <si>
    <t>is_primary_key</t>
  </si>
  <si>
    <t>is_foreign_key</t>
  </si>
  <si>
    <t>references_table</t>
  </si>
  <si>
    <t>references_column</t>
  </si>
  <si>
    <t>ACT_PAR</t>
  </si>
  <si>
    <t>ART_PAR</t>
  </si>
  <si>
    <t>QUA_PAR</t>
  </si>
  <si>
    <t>NULL</t>
  </si>
  <si>
    <t>IVE_DAT</t>
  </si>
  <si>
    <t>MIE_DAT</t>
  </si>
  <si>
    <t>MVT_DAT</t>
  </si>
  <si>
    <t>OPE_DAT</t>
  </si>
  <si>
    <t>OPL_DAT</t>
  </si>
  <si>
    <t>REA_DAT</t>
  </si>
  <si>
    <t>REL_DAT</t>
  </si>
  <si>
    <t>STK_DAT</t>
  </si>
  <si>
    <t>TIE_PAR</t>
  </si>
  <si>
    <t>Table_name</t>
  </si>
  <si>
    <t>STOCK MOVEMENT TABLE</t>
  </si>
  <si>
    <t>Column_Name</t>
  </si>
  <si>
    <t>Column_Description</t>
  </si>
  <si>
    <t>SQL_Server_Data_Type</t>
  </si>
  <si>
    <t>Oracle_Data_Type</t>
  </si>
  <si>
    <t>Primary_Key</t>
  </si>
  <si>
    <t>Table_Description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</si>
</sst>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5591F-C274-49BF-A409-9CA647011FC0}" name="Table1" displayName="Table1" ref="A1:K136" totalsRowShown="0" headerRowDxfId="0" headerRowBorderDxfId="1" tableBorderDxfId="2">
  <autoFilter ref="A1:K136" xr:uid="{FA05591F-C274-49BF-A409-9CA647011FC0}"/>
  <tableColumns count="11">
    <tableColumn id="1" xr3:uid="{6FA78EF9-7C09-4596-B04E-C93A10B22074}" name="Column_Name"/>
    <tableColumn id="2" xr3:uid="{81618F82-D23F-4FD5-8573-F266F6034F6D}" name="Column_Description"/>
    <tableColumn id="3" xr3:uid="{A3A03F42-1BFE-46C6-9F2E-BD3EC167E3D3}" name="SQL_Server_Data_Type"/>
    <tableColumn id="4" xr3:uid="{B227811E-77DD-47B3-BBEF-6F26018AA9B9}" name="Oracle_Data_Type"/>
    <tableColumn id="5" xr3:uid="{4D9F905B-E5DD-40FB-AC93-DDBEFB86AAA5}" name="is_primary_key"/>
    <tableColumn id="6" xr3:uid="{DE0B8E9D-21CC-4C3A-B884-6AF804A3B3BD}" name="is_foreign_key"/>
    <tableColumn id="7" xr3:uid="{7BB7C4D7-F716-4468-A2FD-FB7C4BAD9313}" name="references_table"/>
    <tableColumn id="8" xr3:uid="{8007D8AE-9396-46F5-A52B-4271645C1041}" name="references_column">
      <calculatedColumnFormula>A2</calculatedColumnFormula>
    </tableColumn>
    <tableColumn id="9" xr3:uid="{5C286A1E-3BD7-4E21-918E-053699DB91C0}" name="Primary_Key"/>
    <tableColumn id="10" xr3:uid="{4254DD9A-0F28-499D-936C-C1873DD2B8F5}" name="Table_name"/>
    <tableColumn id="11" xr3:uid="{22A590D4-33D0-4100-8A23-8D3B9EEEFEA1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abSelected="1" workbookViewId="0">
      <selection activeCell="S17" sqref="S17"/>
    </sheetView>
  </sheetViews>
  <sheetFormatPr defaultRowHeight="14.5" x14ac:dyDescent="0.35"/>
  <cols>
    <col min="1" max="1" width="20" customWidth="1"/>
    <col min="2" max="2" width="36.81640625" customWidth="1"/>
    <col min="3" max="3" width="19.08984375" customWidth="1"/>
    <col min="4" max="4" width="21.08984375" customWidth="1"/>
    <col min="5" max="5" width="18.08984375" customWidth="1"/>
    <col min="6" max="6" width="23.6328125" customWidth="1"/>
    <col min="7" max="7" width="17.90625" customWidth="1"/>
    <col min="8" max="8" width="22.08984375" bestFit="1" customWidth="1"/>
    <col min="9" max="9" width="25.90625" customWidth="1"/>
    <col min="10" max="10" width="27.6328125" customWidth="1"/>
    <col min="11" max="11" width="20.453125" bestFit="1" customWidth="1"/>
  </cols>
  <sheetData>
    <row r="1" spans="1:11" x14ac:dyDescent="0.35">
      <c r="A1" s="1" t="s">
        <v>296</v>
      </c>
      <c r="B1" s="1" t="s">
        <v>297</v>
      </c>
      <c r="C1" s="1" t="s">
        <v>298</v>
      </c>
      <c r="D1" s="1" t="s">
        <v>299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300</v>
      </c>
      <c r="J1" s="1" t="s">
        <v>294</v>
      </c>
      <c r="K1" s="1" t="s">
        <v>301</v>
      </c>
    </row>
    <row r="2" spans="1:11" x14ac:dyDescent="0.35">
      <c r="A2" t="s">
        <v>0</v>
      </c>
      <c r="B2" t="s">
        <v>135</v>
      </c>
      <c r="C2" t="s">
        <v>244</v>
      </c>
      <c r="D2" t="s">
        <v>262</v>
      </c>
      <c r="E2" t="b">
        <v>0</v>
      </c>
      <c r="F2" t="b">
        <v>1</v>
      </c>
      <c r="G2" t="s">
        <v>281</v>
      </c>
      <c r="H2" t="str">
        <f>A2</f>
        <v>ACT_CODE</v>
      </c>
      <c r="I2" t="s">
        <v>71</v>
      </c>
      <c r="J2" t="s">
        <v>287</v>
      </c>
      <c r="K2" t="s">
        <v>295</v>
      </c>
    </row>
    <row r="3" spans="1:11" x14ac:dyDescent="0.35">
      <c r="A3" t="s">
        <v>1</v>
      </c>
      <c r="B3" t="s">
        <v>136</v>
      </c>
      <c r="C3" t="s">
        <v>245</v>
      </c>
      <c r="D3" t="s">
        <v>263</v>
      </c>
      <c r="E3" t="b">
        <v>0</v>
      </c>
      <c r="F3" t="b">
        <v>1</v>
      </c>
      <c r="G3" t="s">
        <v>282</v>
      </c>
      <c r="H3" t="str">
        <f t="shared" ref="H3:H66" si="0">A3</f>
        <v>ART_CNDC</v>
      </c>
    </row>
    <row r="4" spans="1:11" x14ac:dyDescent="0.35">
      <c r="A4" t="s">
        <v>2</v>
      </c>
      <c r="B4" t="s">
        <v>137</v>
      </c>
      <c r="C4" t="s">
        <v>245</v>
      </c>
      <c r="D4" t="s">
        <v>263</v>
      </c>
      <c r="E4" t="b">
        <v>0</v>
      </c>
      <c r="F4" t="b">
        <v>1</v>
      </c>
      <c r="G4" t="s">
        <v>282</v>
      </c>
      <c r="H4" t="str">
        <f t="shared" si="0"/>
        <v>ART_CNDO</v>
      </c>
    </row>
    <row r="5" spans="1:11" x14ac:dyDescent="0.35">
      <c r="A5" t="s">
        <v>3</v>
      </c>
      <c r="B5" t="s">
        <v>138</v>
      </c>
      <c r="C5" t="s">
        <v>245</v>
      </c>
      <c r="D5" t="s">
        <v>263</v>
      </c>
      <c r="E5" t="b">
        <v>0</v>
      </c>
      <c r="F5" t="b">
        <v>1</v>
      </c>
      <c r="G5" t="s">
        <v>282</v>
      </c>
      <c r="H5" t="str">
        <f t="shared" si="0"/>
        <v>ART_CNDP</v>
      </c>
    </row>
    <row r="6" spans="1:11" x14ac:dyDescent="0.35">
      <c r="A6" t="s">
        <v>4</v>
      </c>
      <c r="B6" t="s">
        <v>139</v>
      </c>
      <c r="C6" t="s">
        <v>245</v>
      </c>
      <c r="D6" t="s">
        <v>263</v>
      </c>
      <c r="E6" t="b">
        <v>0</v>
      </c>
      <c r="F6" t="b">
        <v>1</v>
      </c>
      <c r="G6" t="s">
        <v>282</v>
      </c>
      <c r="H6" t="str">
        <f t="shared" si="0"/>
        <v>ART_CNDS</v>
      </c>
    </row>
    <row r="7" spans="1:11" x14ac:dyDescent="0.35">
      <c r="A7" t="s">
        <v>5</v>
      </c>
      <c r="B7" t="s">
        <v>140</v>
      </c>
      <c r="C7" t="s">
        <v>245</v>
      </c>
      <c r="D7" t="s">
        <v>263</v>
      </c>
      <c r="E7" t="b">
        <v>0</v>
      </c>
      <c r="F7" t="b">
        <v>1</v>
      </c>
      <c r="G7" t="s">
        <v>282</v>
      </c>
      <c r="H7" t="str">
        <f t="shared" si="0"/>
        <v>ART_CNDU</v>
      </c>
    </row>
    <row r="8" spans="1:11" x14ac:dyDescent="0.35">
      <c r="A8" t="s">
        <v>6</v>
      </c>
      <c r="B8" t="s">
        <v>141</v>
      </c>
      <c r="C8" t="s">
        <v>246</v>
      </c>
      <c r="D8" t="s">
        <v>264</v>
      </c>
      <c r="E8" t="b">
        <v>0</v>
      </c>
      <c r="F8" t="b">
        <v>1</v>
      </c>
      <c r="G8" t="s">
        <v>282</v>
      </c>
      <c r="H8" t="str">
        <f t="shared" si="0"/>
        <v>ART_CODE</v>
      </c>
    </row>
    <row r="9" spans="1:11" x14ac:dyDescent="0.35">
      <c r="A9" t="s">
        <v>7</v>
      </c>
      <c r="B9" t="s">
        <v>142</v>
      </c>
      <c r="C9" t="s">
        <v>247</v>
      </c>
      <c r="D9" t="s">
        <v>265</v>
      </c>
      <c r="E9" t="b">
        <v>0</v>
      </c>
      <c r="F9" t="b">
        <v>1</v>
      </c>
      <c r="G9" t="s">
        <v>282</v>
      </c>
      <c r="H9" t="str">
        <f t="shared" si="0"/>
        <v>ART_LIB1</v>
      </c>
    </row>
    <row r="10" spans="1:11" x14ac:dyDescent="0.35">
      <c r="A10" t="s">
        <v>8</v>
      </c>
      <c r="B10" t="s">
        <v>142</v>
      </c>
      <c r="C10" t="s">
        <v>247</v>
      </c>
      <c r="D10" t="s">
        <v>265</v>
      </c>
      <c r="E10" t="b">
        <v>0</v>
      </c>
      <c r="F10" t="b">
        <v>1</v>
      </c>
      <c r="G10" t="s">
        <v>282</v>
      </c>
      <c r="H10" t="str">
        <f t="shared" si="0"/>
        <v>ART_LIB2</v>
      </c>
    </row>
    <row r="11" spans="1:11" x14ac:dyDescent="0.35">
      <c r="A11" t="s">
        <v>9</v>
      </c>
      <c r="B11" t="s">
        <v>142</v>
      </c>
      <c r="C11" t="s">
        <v>247</v>
      </c>
      <c r="D11" t="s">
        <v>265</v>
      </c>
      <c r="E11" t="b">
        <v>0</v>
      </c>
      <c r="F11" t="b">
        <v>1</v>
      </c>
      <c r="G11" t="s">
        <v>282</v>
      </c>
      <c r="H11" t="str">
        <f t="shared" si="0"/>
        <v>ART_LIB3</v>
      </c>
    </row>
    <row r="12" spans="1:11" x14ac:dyDescent="0.35">
      <c r="A12" t="s">
        <v>10</v>
      </c>
      <c r="B12" t="s">
        <v>142</v>
      </c>
      <c r="C12" t="s">
        <v>247</v>
      </c>
      <c r="D12" t="s">
        <v>265</v>
      </c>
      <c r="E12" t="b">
        <v>0</v>
      </c>
      <c r="F12" t="b">
        <v>1</v>
      </c>
      <c r="G12" t="s">
        <v>282</v>
      </c>
      <c r="H12" t="str">
        <f t="shared" si="0"/>
        <v>ART_LIB4</v>
      </c>
    </row>
    <row r="13" spans="1:11" x14ac:dyDescent="0.35">
      <c r="A13" t="s">
        <v>11</v>
      </c>
      <c r="B13" t="s">
        <v>142</v>
      </c>
      <c r="C13" t="s">
        <v>247</v>
      </c>
      <c r="D13" t="s">
        <v>265</v>
      </c>
      <c r="E13" t="b">
        <v>0</v>
      </c>
      <c r="F13" t="b">
        <v>1</v>
      </c>
      <c r="G13" t="s">
        <v>282</v>
      </c>
      <c r="H13" t="str">
        <f t="shared" si="0"/>
        <v>ART_LIB5</v>
      </c>
    </row>
    <row r="14" spans="1:11" x14ac:dyDescent="0.35">
      <c r="A14" t="s">
        <v>12</v>
      </c>
      <c r="B14" t="s">
        <v>142</v>
      </c>
      <c r="C14" t="s">
        <v>247</v>
      </c>
      <c r="D14" t="s">
        <v>265</v>
      </c>
      <c r="E14" t="b">
        <v>0</v>
      </c>
      <c r="F14" t="b">
        <v>1</v>
      </c>
      <c r="G14" t="s">
        <v>282</v>
      </c>
      <c r="H14" t="str">
        <f t="shared" si="0"/>
        <v>ART_LIB6</v>
      </c>
    </row>
    <row r="15" spans="1:11" x14ac:dyDescent="0.35">
      <c r="A15" t="s">
        <v>13</v>
      </c>
      <c r="B15" t="s">
        <v>142</v>
      </c>
      <c r="C15" t="s">
        <v>246</v>
      </c>
      <c r="D15" t="s">
        <v>264</v>
      </c>
      <c r="E15" t="b">
        <v>0</v>
      </c>
      <c r="F15" t="b">
        <v>1</v>
      </c>
      <c r="G15" t="s">
        <v>282</v>
      </c>
      <c r="H15" t="str">
        <f t="shared" si="0"/>
        <v>ART_NIV1</v>
      </c>
    </row>
    <row r="16" spans="1:11" x14ac:dyDescent="0.35">
      <c r="A16" t="s">
        <v>14</v>
      </c>
      <c r="B16" t="s">
        <v>142</v>
      </c>
      <c r="C16" t="s">
        <v>246</v>
      </c>
      <c r="D16" t="s">
        <v>264</v>
      </c>
      <c r="E16" t="b">
        <v>0</v>
      </c>
      <c r="F16" t="b">
        <v>1</v>
      </c>
      <c r="G16" t="s">
        <v>282</v>
      </c>
      <c r="H16" t="str">
        <f t="shared" si="0"/>
        <v>ART_NIV2</v>
      </c>
    </row>
    <row r="17" spans="1:8" x14ac:dyDescent="0.35">
      <c r="A17" t="s">
        <v>15</v>
      </c>
      <c r="B17" t="s">
        <v>142</v>
      </c>
      <c r="C17" t="s">
        <v>246</v>
      </c>
      <c r="D17" t="s">
        <v>264</v>
      </c>
      <c r="E17" t="b">
        <v>0</v>
      </c>
      <c r="F17" t="b">
        <v>1</v>
      </c>
      <c r="G17" t="s">
        <v>282</v>
      </c>
      <c r="H17" t="str">
        <f t="shared" si="0"/>
        <v>ART_NIV3</v>
      </c>
    </row>
    <row r="18" spans="1:8" x14ac:dyDescent="0.35">
      <c r="A18" t="s">
        <v>16</v>
      </c>
      <c r="B18" t="s">
        <v>142</v>
      </c>
      <c r="C18" t="s">
        <v>246</v>
      </c>
      <c r="D18" t="s">
        <v>264</v>
      </c>
      <c r="E18" t="b">
        <v>0</v>
      </c>
      <c r="F18" t="b">
        <v>1</v>
      </c>
      <c r="G18" t="s">
        <v>282</v>
      </c>
      <c r="H18" t="str">
        <f t="shared" si="0"/>
        <v>ART_NIV4</v>
      </c>
    </row>
    <row r="19" spans="1:8" x14ac:dyDescent="0.35">
      <c r="A19" t="s">
        <v>17</v>
      </c>
      <c r="B19" t="s">
        <v>142</v>
      </c>
      <c r="C19" t="s">
        <v>246</v>
      </c>
      <c r="D19" t="s">
        <v>264</v>
      </c>
      <c r="E19" t="b">
        <v>0</v>
      </c>
      <c r="F19" t="b">
        <v>1</v>
      </c>
      <c r="G19" t="s">
        <v>282</v>
      </c>
      <c r="H19" t="str">
        <f t="shared" si="0"/>
        <v>ART_NIV5</v>
      </c>
    </row>
    <row r="20" spans="1:8" x14ac:dyDescent="0.35">
      <c r="A20" t="s">
        <v>18</v>
      </c>
      <c r="B20" t="s">
        <v>142</v>
      </c>
      <c r="C20" t="s">
        <v>246</v>
      </c>
      <c r="D20" t="s">
        <v>264</v>
      </c>
      <c r="E20" t="b">
        <v>0</v>
      </c>
      <c r="F20" t="b">
        <v>1</v>
      </c>
      <c r="G20" t="s">
        <v>282</v>
      </c>
      <c r="H20" t="str">
        <f t="shared" si="0"/>
        <v>ART_NIV6</v>
      </c>
    </row>
    <row r="21" spans="1:8" x14ac:dyDescent="0.35">
      <c r="A21" t="s">
        <v>19</v>
      </c>
      <c r="B21" t="s">
        <v>143</v>
      </c>
      <c r="C21" t="s">
        <v>248</v>
      </c>
      <c r="D21" t="s">
        <v>266</v>
      </c>
      <c r="E21" t="b">
        <v>0</v>
      </c>
      <c r="F21" t="b">
        <v>1</v>
      </c>
      <c r="G21" t="s">
        <v>282</v>
      </c>
      <c r="H21" t="str">
        <f t="shared" si="0"/>
        <v>ART_QTEC</v>
      </c>
    </row>
    <row r="22" spans="1:8" x14ac:dyDescent="0.35">
      <c r="A22" t="s">
        <v>20</v>
      </c>
      <c r="B22" t="s">
        <v>144</v>
      </c>
      <c r="C22" t="s">
        <v>248</v>
      </c>
      <c r="D22" t="s">
        <v>266</v>
      </c>
      <c r="E22" t="b">
        <v>0</v>
      </c>
      <c r="F22" t="b">
        <v>1</v>
      </c>
      <c r="G22" t="s">
        <v>282</v>
      </c>
      <c r="H22" t="str">
        <f t="shared" si="0"/>
        <v>ART_QTEO</v>
      </c>
    </row>
    <row r="23" spans="1:8" x14ac:dyDescent="0.35">
      <c r="A23" t="s">
        <v>21</v>
      </c>
      <c r="B23" t="s">
        <v>145</v>
      </c>
      <c r="C23" t="s">
        <v>248</v>
      </c>
      <c r="D23" t="s">
        <v>266</v>
      </c>
      <c r="E23" t="b">
        <v>0</v>
      </c>
      <c r="F23" t="b">
        <v>1</v>
      </c>
      <c r="G23" t="s">
        <v>282</v>
      </c>
      <c r="H23" t="str">
        <f t="shared" si="0"/>
        <v>ART_QTEP</v>
      </c>
    </row>
    <row r="24" spans="1:8" x14ac:dyDescent="0.35">
      <c r="A24" t="s">
        <v>22</v>
      </c>
      <c r="B24" t="s">
        <v>146</v>
      </c>
      <c r="C24" t="s">
        <v>248</v>
      </c>
      <c r="D24" t="s">
        <v>266</v>
      </c>
      <c r="E24" t="b">
        <v>0</v>
      </c>
      <c r="F24" t="b">
        <v>1</v>
      </c>
      <c r="G24" t="s">
        <v>282</v>
      </c>
      <c r="H24" t="str">
        <f t="shared" si="0"/>
        <v>ART_QTES</v>
      </c>
    </row>
    <row r="25" spans="1:8" x14ac:dyDescent="0.35">
      <c r="A25" t="s">
        <v>23</v>
      </c>
      <c r="B25" t="s">
        <v>147</v>
      </c>
      <c r="C25" t="s">
        <v>248</v>
      </c>
      <c r="D25" t="s">
        <v>266</v>
      </c>
      <c r="E25" t="b">
        <v>0</v>
      </c>
      <c r="F25" t="b">
        <v>1</v>
      </c>
      <c r="G25" t="s">
        <v>282</v>
      </c>
      <c r="H25" t="str">
        <f t="shared" si="0"/>
        <v>ART_QTEU</v>
      </c>
    </row>
    <row r="26" spans="1:8" x14ac:dyDescent="0.35">
      <c r="A26" t="s">
        <v>24</v>
      </c>
      <c r="B26" t="s">
        <v>148</v>
      </c>
      <c r="C26" t="s">
        <v>249</v>
      </c>
      <c r="D26" t="s">
        <v>267</v>
      </c>
      <c r="E26" t="b">
        <v>0</v>
      </c>
      <c r="F26" t="b">
        <v>1</v>
      </c>
      <c r="G26" t="s">
        <v>284</v>
      </c>
      <c r="H26" t="str">
        <f t="shared" si="0"/>
        <v>DOS_CODE</v>
      </c>
    </row>
    <row r="27" spans="1:8" x14ac:dyDescent="0.35">
      <c r="A27" t="s">
        <v>25</v>
      </c>
      <c r="B27" t="s">
        <v>149</v>
      </c>
      <c r="C27" t="s">
        <v>244</v>
      </c>
      <c r="D27" t="s">
        <v>262</v>
      </c>
      <c r="E27" t="b">
        <v>0</v>
      </c>
      <c r="F27" t="b">
        <v>1</v>
      </c>
      <c r="G27" t="s">
        <v>284</v>
      </c>
      <c r="H27" t="str">
        <f t="shared" si="0"/>
        <v>GAB_CODE</v>
      </c>
    </row>
    <row r="28" spans="1:8" x14ac:dyDescent="0.35">
      <c r="A28" t="s">
        <v>26</v>
      </c>
      <c r="B28" t="s">
        <v>150</v>
      </c>
      <c r="C28" t="s">
        <v>245</v>
      </c>
      <c r="D28" t="s">
        <v>263</v>
      </c>
      <c r="E28" t="b">
        <v>0</v>
      </c>
      <c r="F28" t="b">
        <v>1</v>
      </c>
      <c r="G28" t="s">
        <v>285</v>
      </c>
      <c r="H28" t="str">
        <f t="shared" si="0"/>
        <v>IVE_CODE</v>
      </c>
    </row>
    <row r="29" spans="1:8" x14ac:dyDescent="0.35">
      <c r="A29" t="s">
        <v>27</v>
      </c>
      <c r="B29" t="s">
        <v>151</v>
      </c>
      <c r="C29" t="s">
        <v>250</v>
      </c>
      <c r="D29" t="s">
        <v>268</v>
      </c>
      <c r="E29" t="b">
        <v>0</v>
      </c>
      <c r="F29" t="b">
        <v>1</v>
      </c>
      <c r="G29" t="s">
        <v>285</v>
      </c>
      <c r="H29" t="str">
        <f t="shared" si="0"/>
        <v>IVE_DATE</v>
      </c>
    </row>
    <row r="30" spans="1:8" x14ac:dyDescent="0.35">
      <c r="A30" t="s">
        <v>28</v>
      </c>
      <c r="B30" t="s">
        <v>152</v>
      </c>
      <c r="C30" t="s">
        <v>250</v>
      </c>
      <c r="D30" t="s">
        <v>268</v>
      </c>
      <c r="E30" t="b">
        <v>0</v>
      </c>
      <c r="F30" t="b">
        <v>1</v>
      </c>
      <c r="G30" t="s">
        <v>285</v>
      </c>
      <c r="H30" t="str">
        <f t="shared" si="0"/>
        <v>IVE_MODA</v>
      </c>
    </row>
    <row r="31" spans="1:8" x14ac:dyDescent="0.35">
      <c r="A31" t="s">
        <v>29</v>
      </c>
      <c r="B31" t="s">
        <v>153</v>
      </c>
      <c r="C31" t="s">
        <v>251</v>
      </c>
      <c r="D31" t="s">
        <v>269</v>
      </c>
      <c r="E31" t="b">
        <v>0</v>
      </c>
      <c r="F31" t="b">
        <v>1</v>
      </c>
      <c r="G31" t="s">
        <v>285</v>
      </c>
      <c r="H31" t="str">
        <f t="shared" si="0"/>
        <v>IVE_MOHE</v>
      </c>
    </row>
    <row r="32" spans="1:8" x14ac:dyDescent="0.35">
      <c r="A32" t="s">
        <v>30</v>
      </c>
      <c r="B32" t="s">
        <v>154</v>
      </c>
      <c r="C32" t="s">
        <v>245</v>
      </c>
      <c r="D32" t="s">
        <v>263</v>
      </c>
      <c r="E32" t="b">
        <v>0</v>
      </c>
      <c r="F32" t="b">
        <v>1</v>
      </c>
      <c r="G32" t="s">
        <v>285</v>
      </c>
      <c r="H32" t="str">
        <f t="shared" si="0"/>
        <v>IVE_MOQI</v>
      </c>
    </row>
    <row r="33" spans="1:8" x14ac:dyDescent="0.35">
      <c r="A33" t="s">
        <v>31</v>
      </c>
      <c r="B33" t="s">
        <v>155</v>
      </c>
      <c r="C33" t="s">
        <v>252</v>
      </c>
      <c r="D33" t="s">
        <v>266</v>
      </c>
      <c r="E33" t="b">
        <v>0</v>
      </c>
      <c r="F33" t="b">
        <v>1</v>
      </c>
      <c r="G33" t="s">
        <v>286</v>
      </c>
      <c r="H33" t="str">
        <f t="shared" si="0"/>
        <v>MIE NOMI</v>
      </c>
    </row>
    <row r="34" spans="1:8" x14ac:dyDescent="0.35">
      <c r="A34" t="s">
        <v>32</v>
      </c>
      <c r="B34" t="s">
        <v>156</v>
      </c>
      <c r="C34" t="s">
        <v>253</v>
      </c>
      <c r="D34" t="s">
        <v>270</v>
      </c>
      <c r="E34" t="b">
        <v>0</v>
      </c>
      <c r="F34" t="b">
        <v>1</v>
      </c>
      <c r="G34" t="s">
        <v>286</v>
      </c>
      <c r="H34" t="str">
        <f t="shared" si="0"/>
        <v>MIL_GRPB</v>
      </c>
    </row>
    <row r="35" spans="1:8" x14ac:dyDescent="0.35">
      <c r="A35" t="s">
        <v>33</v>
      </c>
      <c r="B35" t="s">
        <v>157</v>
      </c>
      <c r="C35" t="s">
        <v>244</v>
      </c>
      <c r="D35" t="s">
        <v>262</v>
      </c>
      <c r="E35" t="b">
        <v>0</v>
      </c>
      <c r="F35" t="b">
        <v>1</v>
      </c>
      <c r="G35" t="s">
        <v>286</v>
      </c>
      <c r="H35" t="str">
        <f t="shared" si="0"/>
        <v>MIL_MOT</v>
      </c>
    </row>
    <row r="36" spans="1:8" x14ac:dyDescent="0.35">
      <c r="A36" t="s">
        <v>34</v>
      </c>
      <c r="B36" t="s">
        <v>158</v>
      </c>
      <c r="C36" t="s">
        <v>252</v>
      </c>
      <c r="D36" t="s">
        <v>266</v>
      </c>
      <c r="E36" t="b">
        <v>0</v>
      </c>
      <c r="F36" t="b">
        <v>1</v>
      </c>
      <c r="G36" t="s">
        <v>286</v>
      </c>
      <c r="H36" t="str">
        <f t="shared" si="0"/>
        <v>MIL_NOLM</v>
      </c>
    </row>
    <row r="37" spans="1:8" x14ac:dyDescent="0.35">
      <c r="A37" t="s">
        <v>35</v>
      </c>
      <c r="B37" t="s">
        <v>159</v>
      </c>
      <c r="C37" t="s">
        <v>244</v>
      </c>
      <c r="D37" t="s">
        <v>262</v>
      </c>
      <c r="E37" t="b">
        <v>0</v>
      </c>
      <c r="F37" t="b">
        <v>1</v>
      </c>
      <c r="G37" t="s">
        <v>284</v>
      </c>
      <c r="H37" t="str">
        <f t="shared" si="0"/>
        <v>MOT_CODE</v>
      </c>
    </row>
    <row r="38" spans="1:8" x14ac:dyDescent="0.35">
      <c r="A38" t="s">
        <v>36</v>
      </c>
      <c r="B38" t="s">
        <v>160</v>
      </c>
      <c r="C38" t="s">
        <v>247</v>
      </c>
      <c r="D38" t="s">
        <v>265</v>
      </c>
      <c r="E38" t="b">
        <v>0</v>
      </c>
      <c r="F38" t="b">
        <v>1</v>
      </c>
      <c r="G38" t="s">
        <v>284</v>
      </c>
      <c r="H38" t="str">
        <f t="shared" si="0"/>
        <v>MOT_LIB</v>
      </c>
    </row>
    <row r="39" spans="1:8" x14ac:dyDescent="0.35">
      <c r="A39" t="s">
        <v>37</v>
      </c>
      <c r="B39" t="s">
        <v>161</v>
      </c>
      <c r="C39" t="s">
        <v>247</v>
      </c>
      <c r="D39" t="s">
        <v>265</v>
      </c>
      <c r="E39" t="b">
        <v>1</v>
      </c>
      <c r="F39" t="b">
        <v>0</v>
      </c>
      <c r="G39" t="s">
        <v>287</v>
      </c>
      <c r="H39" t="str">
        <f t="shared" si="0"/>
        <v>MVT_ALPHA1</v>
      </c>
    </row>
    <row r="40" spans="1:8" x14ac:dyDescent="0.35">
      <c r="A40" t="s">
        <v>38</v>
      </c>
      <c r="B40" t="s">
        <v>162</v>
      </c>
      <c r="C40" t="s">
        <v>247</v>
      </c>
      <c r="D40" t="s">
        <v>265</v>
      </c>
      <c r="E40" t="b">
        <v>1</v>
      </c>
      <c r="F40" t="b">
        <v>0</v>
      </c>
      <c r="G40" t="s">
        <v>287</v>
      </c>
      <c r="H40" t="str">
        <f t="shared" si="0"/>
        <v>MVT_ALPHA2</v>
      </c>
    </row>
    <row r="41" spans="1:8" x14ac:dyDescent="0.35">
      <c r="A41" t="s">
        <v>39</v>
      </c>
      <c r="B41" t="s">
        <v>163</v>
      </c>
      <c r="C41" t="s">
        <v>247</v>
      </c>
      <c r="D41" t="s">
        <v>265</v>
      </c>
      <c r="E41" t="b">
        <v>1</v>
      </c>
      <c r="F41" t="b">
        <v>0</v>
      </c>
      <c r="G41" t="s">
        <v>287</v>
      </c>
      <c r="H41" t="str">
        <f t="shared" si="0"/>
        <v>MVT_ALPHA3</v>
      </c>
    </row>
    <row r="42" spans="1:8" x14ac:dyDescent="0.35">
      <c r="A42" t="s">
        <v>40</v>
      </c>
      <c r="B42" t="s">
        <v>164</v>
      </c>
      <c r="C42" t="s">
        <v>247</v>
      </c>
      <c r="D42" t="s">
        <v>265</v>
      </c>
      <c r="E42" t="b">
        <v>1</v>
      </c>
      <c r="F42" t="b">
        <v>0</v>
      </c>
      <c r="G42" t="s">
        <v>287</v>
      </c>
      <c r="H42" t="str">
        <f t="shared" si="0"/>
        <v>MVT ALPHA4</v>
      </c>
    </row>
    <row r="43" spans="1:8" x14ac:dyDescent="0.35">
      <c r="A43" t="s">
        <v>41</v>
      </c>
      <c r="B43" t="s">
        <v>165</v>
      </c>
      <c r="C43" t="s">
        <v>247</v>
      </c>
      <c r="D43" t="s">
        <v>265</v>
      </c>
      <c r="E43" t="b">
        <v>1</v>
      </c>
      <c r="F43" t="b">
        <v>0</v>
      </c>
      <c r="G43" t="s">
        <v>287</v>
      </c>
      <c r="H43" t="str">
        <f t="shared" si="0"/>
        <v>MVT_ALPHA5</v>
      </c>
    </row>
    <row r="44" spans="1:8" x14ac:dyDescent="0.35">
      <c r="A44" t="s">
        <v>42</v>
      </c>
      <c r="B44" t="s">
        <v>166</v>
      </c>
      <c r="C44" t="s">
        <v>247</v>
      </c>
      <c r="D44" t="s">
        <v>265</v>
      </c>
      <c r="E44" t="b">
        <v>1</v>
      </c>
      <c r="F44" t="b">
        <v>0</v>
      </c>
      <c r="G44" t="s">
        <v>287</v>
      </c>
      <c r="H44" t="str">
        <f t="shared" si="0"/>
        <v>MVT_ALPHA6</v>
      </c>
    </row>
    <row r="45" spans="1:8" x14ac:dyDescent="0.35">
      <c r="A45" t="s">
        <v>43</v>
      </c>
      <c r="B45" t="s">
        <v>167</v>
      </c>
      <c r="C45" t="s">
        <v>247</v>
      </c>
      <c r="D45" t="s">
        <v>265</v>
      </c>
      <c r="E45" t="b">
        <v>1</v>
      </c>
      <c r="F45" t="b">
        <v>0</v>
      </c>
      <c r="G45" t="s">
        <v>287</v>
      </c>
      <c r="H45" t="str">
        <f t="shared" si="0"/>
        <v>MVT ALPHA7</v>
      </c>
    </row>
    <row r="46" spans="1:8" x14ac:dyDescent="0.35">
      <c r="A46" t="s">
        <v>44</v>
      </c>
      <c r="B46" t="s">
        <v>168</v>
      </c>
      <c r="C46" t="s">
        <v>247</v>
      </c>
      <c r="D46" t="s">
        <v>265</v>
      </c>
      <c r="E46" t="b">
        <v>1</v>
      </c>
      <c r="F46" t="b">
        <v>0</v>
      </c>
      <c r="G46" t="s">
        <v>287</v>
      </c>
      <c r="H46" t="str">
        <f t="shared" si="0"/>
        <v>MVT_ALPHA8</v>
      </c>
    </row>
    <row r="47" spans="1:8" x14ac:dyDescent="0.35">
      <c r="A47" t="s">
        <v>45</v>
      </c>
      <c r="B47" t="s">
        <v>169</v>
      </c>
      <c r="C47" t="s">
        <v>247</v>
      </c>
      <c r="D47" t="s">
        <v>265</v>
      </c>
      <c r="E47" t="b">
        <v>1</v>
      </c>
      <c r="F47" t="b">
        <v>0</v>
      </c>
      <c r="G47" t="s">
        <v>287</v>
      </c>
      <c r="H47" t="str">
        <f t="shared" si="0"/>
        <v>MVT ALPHA9</v>
      </c>
    </row>
    <row r="48" spans="1:8" x14ac:dyDescent="0.35">
      <c r="A48" t="s">
        <v>46</v>
      </c>
      <c r="B48" t="s">
        <v>170</v>
      </c>
      <c r="C48" t="s">
        <v>247</v>
      </c>
      <c r="D48" t="s">
        <v>265</v>
      </c>
      <c r="E48" t="b">
        <v>1</v>
      </c>
      <c r="F48" t="b">
        <v>0</v>
      </c>
      <c r="G48" t="s">
        <v>287</v>
      </c>
      <c r="H48" t="str">
        <f t="shared" si="0"/>
        <v>MVT_ALPHA10</v>
      </c>
    </row>
    <row r="49" spans="1:8" x14ac:dyDescent="0.35">
      <c r="A49" t="s">
        <v>47</v>
      </c>
      <c r="B49" t="s">
        <v>171</v>
      </c>
      <c r="C49" t="s">
        <v>246</v>
      </c>
      <c r="D49" t="s">
        <v>264</v>
      </c>
      <c r="E49" t="b">
        <v>1</v>
      </c>
      <c r="F49" t="b">
        <v>0</v>
      </c>
      <c r="G49" t="s">
        <v>287</v>
      </c>
      <c r="H49" t="str">
        <f t="shared" si="0"/>
        <v>MVT_ARTP</v>
      </c>
    </row>
    <row r="50" spans="1:8" x14ac:dyDescent="0.35">
      <c r="A50" t="s">
        <v>48</v>
      </c>
      <c r="B50" t="s">
        <v>172</v>
      </c>
      <c r="C50" t="s">
        <v>253</v>
      </c>
      <c r="D50" t="s">
        <v>270</v>
      </c>
      <c r="E50" t="b">
        <v>1</v>
      </c>
      <c r="F50" t="b">
        <v>0</v>
      </c>
      <c r="G50" t="s">
        <v>287</v>
      </c>
      <c r="H50" t="str">
        <f t="shared" si="0"/>
        <v>MVT_CFIS</v>
      </c>
    </row>
    <row r="51" spans="1:8" x14ac:dyDescent="0.35">
      <c r="A51" t="s">
        <v>49</v>
      </c>
      <c r="B51" t="s">
        <v>173</v>
      </c>
      <c r="C51" t="s">
        <v>250</v>
      </c>
      <c r="D51" t="s">
        <v>268</v>
      </c>
      <c r="E51" t="b">
        <v>1</v>
      </c>
      <c r="F51" t="b">
        <v>0</v>
      </c>
      <c r="G51" t="s">
        <v>287</v>
      </c>
      <c r="H51" t="str">
        <f t="shared" si="0"/>
        <v>MVT_CRDA</v>
      </c>
    </row>
    <row r="52" spans="1:8" x14ac:dyDescent="0.35">
      <c r="A52" t="s">
        <v>50</v>
      </c>
      <c r="B52" t="s">
        <v>174</v>
      </c>
      <c r="C52" t="s">
        <v>245</v>
      </c>
      <c r="D52" t="s">
        <v>263</v>
      </c>
      <c r="E52" t="b">
        <v>1</v>
      </c>
      <c r="F52" t="b">
        <v>0</v>
      </c>
      <c r="G52" t="s">
        <v>287</v>
      </c>
      <c r="H52" t="str">
        <f t="shared" si="0"/>
        <v>MVT_CRFE</v>
      </c>
    </row>
    <row r="53" spans="1:8" x14ac:dyDescent="0.35">
      <c r="A53" t="s">
        <v>51</v>
      </c>
      <c r="B53" t="s">
        <v>175</v>
      </c>
      <c r="C53" t="s">
        <v>251</v>
      </c>
      <c r="D53" t="s">
        <v>269</v>
      </c>
      <c r="E53" t="b">
        <v>1</v>
      </c>
      <c r="F53" t="b">
        <v>0</v>
      </c>
      <c r="G53" t="s">
        <v>287</v>
      </c>
      <c r="H53" t="str">
        <f t="shared" si="0"/>
        <v>MVT_CRHE</v>
      </c>
    </row>
    <row r="54" spans="1:8" x14ac:dyDescent="0.35">
      <c r="A54" t="s">
        <v>52</v>
      </c>
      <c r="B54" t="s">
        <v>176</v>
      </c>
      <c r="C54" t="s">
        <v>245</v>
      </c>
      <c r="D54" t="s">
        <v>263</v>
      </c>
      <c r="E54" t="b">
        <v>1</v>
      </c>
      <c r="F54" t="b">
        <v>0</v>
      </c>
      <c r="G54" t="s">
        <v>287</v>
      </c>
      <c r="H54" t="str">
        <f t="shared" si="0"/>
        <v>MVT_CRQI</v>
      </c>
    </row>
    <row r="55" spans="1:8" x14ac:dyDescent="0.35">
      <c r="A55" t="s">
        <v>53</v>
      </c>
      <c r="B55" t="s">
        <v>177</v>
      </c>
      <c r="C55" t="s">
        <v>250</v>
      </c>
      <c r="D55" t="s">
        <v>268</v>
      </c>
      <c r="E55" t="b">
        <v>1</v>
      </c>
      <c r="F55" t="b">
        <v>0</v>
      </c>
      <c r="G55" t="s">
        <v>287</v>
      </c>
      <c r="H55" t="str">
        <f t="shared" si="0"/>
        <v>MVT_DATE</v>
      </c>
    </row>
    <row r="56" spans="1:8" x14ac:dyDescent="0.35">
      <c r="A56" t="s">
        <v>54</v>
      </c>
      <c r="B56" t="s">
        <v>178</v>
      </c>
      <c r="C56" t="s">
        <v>250</v>
      </c>
      <c r="D56" t="s">
        <v>268</v>
      </c>
      <c r="E56" t="b">
        <v>1</v>
      </c>
      <c r="F56" t="b">
        <v>0</v>
      </c>
      <c r="G56" t="s">
        <v>287</v>
      </c>
      <c r="H56" t="str">
        <f t="shared" si="0"/>
        <v>MVT_DATE1</v>
      </c>
    </row>
    <row r="57" spans="1:8" x14ac:dyDescent="0.35">
      <c r="A57" t="s">
        <v>55</v>
      </c>
      <c r="B57" t="s">
        <v>179</v>
      </c>
      <c r="C57" t="s">
        <v>250</v>
      </c>
      <c r="D57" t="s">
        <v>268</v>
      </c>
      <c r="E57" t="b">
        <v>1</v>
      </c>
      <c r="F57" t="b">
        <v>0</v>
      </c>
      <c r="G57" t="s">
        <v>287</v>
      </c>
      <c r="H57" t="str">
        <f t="shared" si="0"/>
        <v>MVT_DATE2</v>
      </c>
    </row>
    <row r="58" spans="1:8" x14ac:dyDescent="0.35">
      <c r="A58" t="s">
        <v>56</v>
      </c>
      <c r="B58" t="s">
        <v>180</v>
      </c>
      <c r="C58" t="s">
        <v>250</v>
      </c>
      <c r="D58" t="s">
        <v>268</v>
      </c>
      <c r="E58" t="b">
        <v>1</v>
      </c>
      <c r="F58" t="b">
        <v>0</v>
      </c>
      <c r="G58" t="s">
        <v>287</v>
      </c>
      <c r="H58" t="str">
        <f t="shared" si="0"/>
        <v>MVT_DATEЗ</v>
      </c>
    </row>
    <row r="59" spans="1:8" x14ac:dyDescent="0.35">
      <c r="A59" t="s">
        <v>57</v>
      </c>
      <c r="B59" t="s">
        <v>181</v>
      </c>
      <c r="C59" t="s">
        <v>250</v>
      </c>
      <c r="D59" t="s">
        <v>268</v>
      </c>
      <c r="E59" t="b">
        <v>1</v>
      </c>
      <c r="F59" t="b">
        <v>0</v>
      </c>
      <c r="G59" t="s">
        <v>287</v>
      </c>
      <c r="H59" t="str">
        <f t="shared" si="0"/>
        <v>MVT_DATE4</v>
      </c>
    </row>
    <row r="60" spans="1:8" x14ac:dyDescent="0.35">
      <c r="A60" t="s">
        <v>58</v>
      </c>
      <c r="B60" t="s">
        <v>182</v>
      </c>
      <c r="C60" t="s">
        <v>250</v>
      </c>
      <c r="D60" t="s">
        <v>268</v>
      </c>
      <c r="E60" t="b">
        <v>1</v>
      </c>
      <c r="F60" t="b">
        <v>0</v>
      </c>
      <c r="G60" t="s">
        <v>287</v>
      </c>
      <c r="H60" t="str">
        <f t="shared" si="0"/>
        <v>MVT_DATE5</v>
      </c>
    </row>
    <row r="61" spans="1:8" x14ac:dyDescent="0.35">
      <c r="A61" t="s">
        <v>59</v>
      </c>
      <c r="B61" t="s">
        <v>183</v>
      </c>
      <c r="C61" t="s">
        <v>250</v>
      </c>
      <c r="D61" t="s">
        <v>268</v>
      </c>
      <c r="E61" t="b">
        <v>1</v>
      </c>
      <c r="F61" t="b">
        <v>0</v>
      </c>
      <c r="G61" t="s">
        <v>287</v>
      </c>
      <c r="H61" t="str">
        <f t="shared" si="0"/>
        <v>MVT_DAVA</v>
      </c>
    </row>
    <row r="62" spans="1:8" x14ac:dyDescent="0.35">
      <c r="A62" t="s">
        <v>60</v>
      </c>
      <c r="B62" t="s">
        <v>142</v>
      </c>
      <c r="C62" t="s">
        <v>254</v>
      </c>
      <c r="D62" t="s">
        <v>271</v>
      </c>
      <c r="E62" t="b">
        <v>1</v>
      </c>
      <c r="F62" t="b">
        <v>0</v>
      </c>
      <c r="G62" t="s">
        <v>287</v>
      </c>
      <c r="H62" t="str">
        <f t="shared" si="0"/>
        <v>MVT_EANC</v>
      </c>
    </row>
    <row r="63" spans="1:8" x14ac:dyDescent="0.35">
      <c r="A63" t="s">
        <v>61</v>
      </c>
      <c r="B63" t="s">
        <v>142</v>
      </c>
      <c r="C63" t="s">
        <v>254</v>
      </c>
      <c r="D63" t="s">
        <v>271</v>
      </c>
      <c r="E63" t="b">
        <v>1</v>
      </c>
      <c r="F63" t="b">
        <v>0</v>
      </c>
      <c r="G63" t="s">
        <v>287</v>
      </c>
      <c r="H63" t="str">
        <f t="shared" si="0"/>
        <v>MVT EANO</v>
      </c>
    </row>
    <row r="64" spans="1:8" x14ac:dyDescent="0.35">
      <c r="A64" t="s">
        <v>62</v>
      </c>
      <c r="B64" t="s">
        <v>142</v>
      </c>
      <c r="C64" t="s">
        <v>254</v>
      </c>
      <c r="D64" t="s">
        <v>271</v>
      </c>
      <c r="E64" t="b">
        <v>1</v>
      </c>
      <c r="F64" t="b">
        <v>0</v>
      </c>
      <c r="G64" t="s">
        <v>287</v>
      </c>
      <c r="H64" t="str">
        <f t="shared" si="0"/>
        <v>MVT_EANP</v>
      </c>
    </row>
    <row r="65" spans="1:8" x14ac:dyDescent="0.35">
      <c r="A65" t="s">
        <v>63</v>
      </c>
      <c r="B65" t="s">
        <v>142</v>
      </c>
      <c r="C65" t="s">
        <v>254</v>
      </c>
      <c r="D65" t="s">
        <v>271</v>
      </c>
      <c r="E65" t="b">
        <v>1</v>
      </c>
      <c r="F65" t="b">
        <v>0</v>
      </c>
      <c r="G65" t="s">
        <v>287</v>
      </c>
      <c r="H65" t="str">
        <f t="shared" si="0"/>
        <v>MVT_EANS</v>
      </c>
    </row>
    <row r="66" spans="1:8" x14ac:dyDescent="0.35">
      <c r="A66" t="s">
        <v>64</v>
      </c>
      <c r="B66" t="s">
        <v>142</v>
      </c>
      <c r="C66" t="s">
        <v>254</v>
      </c>
      <c r="D66" t="s">
        <v>271</v>
      </c>
      <c r="E66" t="b">
        <v>1</v>
      </c>
      <c r="F66" t="b">
        <v>0</v>
      </c>
      <c r="G66" t="s">
        <v>287</v>
      </c>
      <c r="H66" t="str">
        <f t="shared" si="0"/>
        <v>MVT_EANU</v>
      </c>
    </row>
    <row r="67" spans="1:8" x14ac:dyDescent="0.35">
      <c r="A67" t="s">
        <v>65</v>
      </c>
      <c r="B67" t="s">
        <v>184</v>
      </c>
      <c r="C67" t="s">
        <v>251</v>
      </c>
      <c r="D67" t="s">
        <v>269</v>
      </c>
      <c r="E67" t="b">
        <v>1</v>
      </c>
      <c r="F67" t="b">
        <v>0</v>
      </c>
      <c r="G67" t="s">
        <v>287</v>
      </c>
      <c r="H67" t="str">
        <f t="shared" ref="H67:H130" si="1">A67</f>
        <v>MVT_HEUE</v>
      </c>
    </row>
    <row r="68" spans="1:8" x14ac:dyDescent="0.35">
      <c r="A68" t="s">
        <v>66</v>
      </c>
      <c r="B68" t="s">
        <v>185</v>
      </c>
      <c r="C68" t="s">
        <v>251</v>
      </c>
      <c r="D68" t="s">
        <v>269</v>
      </c>
      <c r="E68" t="b">
        <v>1</v>
      </c>
      <c r="F68" t="b">
        <v>0</v>
      </c>
      <c r="G68" t="s">
        <v>287</v>
      </c>
      <c r="H68" t="str">
        <f t="shared" si="1"/>
        <v>MVT_HEURE1</v>
      </c>
    </row>
    <row r="69" spans="1:8" x14ac:dyDescent="0.35">
      <c r="A69" t="s">
        <v>67</v>
      </c>
      <c r="B69" t="s">
        <v>186</v>
      </c>
      <c r="C69" t="s">
        <v>251</v>
      </c>
      <c r="D69" t="s">
        <v>269</v>
      </c>
      <c r="E69" t="b">
        <v>1</v>
      </c>
      <c r="F69" t="b">
        <v>0</v>
      </c>
      <c r="G69" t="s">
        <v>287</v>
      </c>
      <c r="H69" t="str">
        <f t="shared" si="1"/>
        <v>MVT_HEURE2</v>
      </c>
    </row>
    <row r="70" spans="1:8" x14ac:dyDescent="0.35">
      <c r="A70" t="s">
        <v>68</v>
      </c>
      <c r="B70" t="s">
        <v>187</v>
      </c>
      <c r="C70" t="s">
        <v>251</v>
      </c>
      <c r="D70" t="s">
        <v>269</v>
      </c>
      <c r="E70" t="b">
        <v>1</v>
      </c>
      <c r="F70" t="b">
        <v>0</v>
      </c>
      <c r="G70" t="s">
        <v>287</v>
      </c>
      <c r="H70" t="str">
        <f t="shared" si="1"/>
        <v>MVT_HEURE3</v>
      </c>
    </row>
    <row r="71" spans="1:8" x14ac:dyDescent="0.35">
      <c r="A71" t="s">
        <v>69</v>
      </c>
      <c r="B71" t="s">
        <v>188</v>
      </c>
      <c r="C71" t="s">
        <v>251</v>
      </c>
      <c r="D71" t="s">
        <v>269</v>
      </c>
      <c r="E71" t="b">
        <v>1</v>
      </c>
      <c r="F71" t="b">
        <v>0</v>
      </c>
      <c r="G71" t="s">
        <v>287</v>
      </c>
      <c r="H71" t="str">
        <f t="shared" si="1"/>
        <v>MVT_HEURE4</v>
      </c>
    </row>
    <row r="72" spans="1:8" x14ac:dyDescent="0.35">
      <c r="A72" t="s">
        <v>70</v>
      </c>
      <c r="B72" t="s">
        <v>189</v>
      </c>
      <c r="C72" t="s">
        <v>251</v>
      </c>
      <c r="D72" t="s">
        <v>269</v>
      </c>
      <c r="E72" t="b">
        <v>1</v>
      </c>
      <c r="F72" t="b">
        <v>0</v>
      </c>
      <c r="G72" t="s">
        <v>287</v>
      </c>
      <c r="H72" t="str">
        <f t="shared" si="1"/>
        <v>MVT_HEURE5</v>
      </c>
    </row>
    <row r="73" spans="1:8" x14ac:dyDescent="0.35">
      <c r="A73" t="s">
        <v>71</v>
      </c>
      <c r="B73" t="s">
        <v>190</v>
      </c>
      <c r="C73" t="s">
        <v>255</v>
      </c>
      <c r="D73" t="s">
        <v>266</v>
      </c>
      <c r="E73" t="b">
        <v>1</v>
      </c>
      <c r="F73" t="b">
        <v>0</v>
      </c>
      <c r="G73" t="s">
        <v>287</v>
      </c>
      <c r="H73" t="str">
        <f t="shared" si="1"/>
        <v>MVT_KEYU</v>
      </c>
    </row>
    <row r="74" spans="1:8" x14ac:dyDescent="0.35">
      <c r="A74" t="s">
        <v>72</v>
      </c>
      <c r="B74" t="s">
        <v>191</v>
      </c>
      <c r="C74" t="s">
        <v>256</v>
      </c>
      <c r="D74" t="s">
        <v>272</v>
      </c>
      <c r="E74" t="b">
        <v>1</v>
      </c>
      <c r="F74" t="b">
        <v>0</v>
      </c>
      <c r="G74" t="s">
        <v>287</v>
      </c>
      <c r="H74" t="str">
        <f t="shared" si="1"/>
        <v>MVT_LOTP</v>
      </c>
    </row>
    <row r="75" spans="1:8" x14ac:dyDescent="0.35">
      <c r="A75" t="s">
        <v>73</v>
      </c>
      <c r="B75" t="s">
        <v>192</v>
      </c>
      <c r="C75" t="s">
        <v>250</v>
      </c>
      <c r="D75" t="s">
        <v>268</v>
      </c>
      <c r="E75" t="b">
        <v>1</v>
      </c>
      <c r="F75" t="b">
        <v>0</v>
      </c>
      <c r="G75" t="s">
        <v>287</v>
      </c>
      <c r="H75" t="str">
        <f t="shared" si="1"/>
        <v>MVT_MODA</v>
      </c>
    </row>
    <row r="76" spans="1:8" x14ac:dyDescent="0.35">
      <c r="A76" t="s">
        <v>74</v>
      </c>
      <c r="B76" t="s">
        <v>193</v>
      </c>
      <c r="C76" t="s">
        <v>251</v>
      </c>
      <c r="D76" t="s">
        <v>269</v>
      </c>
      <c r="E76" t="b">
        <v>1</v>
      </c>
      <c r="F76" t="b">
        <v>0</v>
      </c>
      <c r="G76" t="s">
        <v>287</v>
      </c>
      <c r="H76" t="str">
        <f t="shared" si="1"/>
        <v>MVT_MOHE</v>
      </c>
    </row>
    <row r="77" spans="1:8" x14ac:dyDescent="0.35">
      <c r="A77" t="s">
        <v>75</v>
      </c>
      <c r="B77" t="s">
        <v>194</v>
      </c>
      <c r="C77" t="s">
        <v>245</v>
      </c>
      <c r="D77" t="s">
        <v>263</v>
      </c>
      <c r="E77" t="b">
        <v>1</v>
      </c>
      <c r="F77" t="b">
        <v>0</v>
      </c>
      <c r="G77" t="s">
        <v>287</v>
      </c>
      <c r="H77" t="str">
        <f t="shared" si="1"/>
        <v>MVT_MOQI</v>
      </c>
    </row>
    <row r="78" spans="1:8" x14ac:dyDescent="0.35">
      <c r="A78" t="s">
        <v>76</v>
      </c>
      <c r="B78" t="s">
        <v>195</v>
      </c>
      <c r="C78" t="s">
        <v>256</v>
      </c>
      <c r="D78" t="s">
        <v>272</v>
      </c>
      <c r="E78" t="b">
        <v>1</v>
      </c>
      <c r="F78" t="b">
        <v>0</v>
      </c>
      <c r="G78" t="s">
        <v>287</v>
      </c>
      <c r="H78" t="str">
        <f t="shared" si="1"/>
        <v>MVT_MOT</v>
      </c>
    </row>
    <row r="79" spans="1:8" x14ac:dyDescent="0.35">
      <c r="A79" t="s">
        <v>77</v>
      </c>
      <c r="B79" t="s">
        <v>196</v>
      </c>
      <c r="C79" t="s">
        <v>248</v>
      </c>
      <c r="D79" t="s">
        <v>266</v>
      </c>
      <c r="E79" t="b">
        <v>1</v>
      </c>
      <c r="F79" t="b">
        <v>0</v>
      </c>
      <c r="G79" t="s">
        <v>287</v>
      </c>
      <c r="H79" t="str">
        <f t="shared" si="1"/>
        <v>MVT_NoMV</v>
      </c>
    </row>
    <row r="80" spans="1:8" x14ac:dyDescent="0.35">
      <c r="A80" t="s">
        <v>78</v>
      </c>
      <c r="B80" t="s">
        <v>197</v>
      </c>
      <c r="C80" t="s">
        <v>248</v>
      </c>
      <c r="D80" t="s">
        <v>266</v>
      </c>
      <c r="E80" t="b">
        <v>1</v>
      </c>
      <c r="F80" t="b">
        <v>0</v>
      </c>
      <c r="G80" t="s">
        <v>287</v>
      </c>
      <c r="H80" t="str">
        <f t="shared" si="1"/>
        <v>MVT_NOOP</v>
      </c>
    </row>
    <row r="81" spans="1:8" x14ac:dyDescent="0.35">
      <c r="A81" t="s">
        <v>79</v>
      </c>
      <c r="B81" t="s">
        <v>198</v>
      </c>
      <c r="C81" t="s">
        <v>248</v>
      </c>
      <c r="D81" t="s">
        <v>266</v>
      </c>
      <c r="E81" t="b">
        <v>1</v>
      </c>
      <c r="F81" t="b">
        <v>0</v>
      </c>
      <c r="G81" t="s">
        <v>287</v>
      </c>
      <c r="H81" t="str">
        <f t="shared" si="1"/>
        <v>MVT_NOTR</v>
      </c>
    </row>
    <row r="82" spans="1:8" x14ac:dyDescent="0.35">
      <c r="A82" t="s">
        <v>80</v>
      </c>
      <c r="B82" t="s">
        <v>199</v>
      </c>
      <c r="C82" t="s">
        <v>257</v>
      </c>
      <c r="D82" t="s">
        <v>257</v>
      </c>
      <c r="E82" t="b">
        <v>1</v>
      </c>
      <c r="F82" t="b">
        <v>0</v>
      </c>
      <c r="G82" t="s">
        <v>287</v>
      </c>
      <c r="H82" t="str">
        <f t="shared" si="1"/>
        <v>MVT_NUM1</v>
      </c>
    </row>
    <row r="83" spans="1:8" x14ac:dyDescent="0.35">
      <c r="A83" t="s">
        <v>81</v>
      </c>
      <c r="B83" t="s">
        <v>200</v>
      </c>
      <c r="C83" t="s">
        <v>257</v>
      </c>
      <c r="D83" t="s">
        <v>257</v>
      </c>
      <c r="E83" t="b">
        <v>1</v>
      </c>
      <c r="F83" t="b">
        <v>0</v>
      </c>
      <c r="G83" t="s">
        <v>287</v>
      </c>
      <c r="H83" t="str">
        <f t="shared" si="1"/>
        <v>MVT_NUM2</v>
      </c>
    </row>
    <row r="84" spans="1:8" x14ac:dyDescent="0.35">
      <c r="A84" t="s">
        <v>82</v>
      </c>
      <c r="B84" t="s">
        <v>201</v>
      </c>
      <c r="C84" t="s">
        <v>257</v>
      </c>
      <c r="D84" t="s">
        <v>257</v>
      </c>
      <c r="E84" t="b">
        <v>1</v>
      </c>
      <c r="F84" t="b">
        <v>0</v>
      </c>
      <c r="G84" t="s">
        <v>287</v>
      </c>
      <c r="H84" t="str">
        <f t="shared" si="1"/>
        <v>MVT_NUM3</v>
      </c>
    </row>
    <row r="85" spans="1:8" x14ac:dyDescent="0.35">
      <c r="A85" t="s">
        <v>83</v>
      </c>
      <c r="B85" t="s">
        <v>202</v>
      </c>
      <c r="C85" t="s">
        <v>257</v>
      </c>
      <c r="D85" t="s">
        <v>257</v>
      </c>
      <c r="E85" t="b">
        <v>1</v>
      </c>
      <c r="F85" t="b">
        <v>0</v>
      </c>
      <c r="G85" t="s">
        <v>287</v>
      </c>
      <c r="H85" t="str">
        <f t="shared" si="1"/>
        <v>MVT_NUM4</v>
      </c>
    </row>
    <row r="86" spans="1:8" x14ac:dyDescent="0.35">
      <c r="A86" t="s">
        <v>84</v>
      </c>
      <c r="B86" t="s">
        <v>203</v>
      </c>
      <c r="C86" t="s">
        <v>257</v>
      </c>
      <c r="D86" t="s">
        <v>257</v>
      </c>
      <c r="E86" t="b">
        <v>1</v>
      </c>
      <c r="F86" t="b">
        <v>0</v>
      </c>
      <c r="G86" t="s">
        <v>287</v>
      </c>
      <c r="H86" t="str">
        <f t="shared" si="1"/>
        <v>MVT_NUM5</v>
      </c>
    </row>
    <row r="87" spans="1:8" x14ac:dyDescent="0.35">
      <c r="A87" t="s">
        <v>85</v>
      </c>
      <c r="B87" t="s">
        <v>204</v>
      </c>
      <c r="C87" t="s">
        <v>248</v>
      </c>
      <c r="D87" t="s">
        <v>266</v>
      </c>
      <c r="E87" t="b">
        <v>1</v>
      </c>
      <c r="F87" t="b">
        <v>0</v>
      </c>
      <c r="G87" t="s">
        <v>287</v>
      </c>
      <c r="H87" t="str">
        <f t="shared" si="1"/>
        <v>MVT_POIV</v>
      </c>
    </row>
    <row r="88" spans="1:8" x14ac:dyDescent="0.35">
      <c r="A88" t="s">
        <v>86</v>
      </c>
      <c r="B88" t="s">
        <v>205</v>
      </c>
      <c r="C88" t="s">
        <v>257</v>
      </c>
      <c r="D88" t="s">
        <v>257</v>
      </c>
      <c r="E88" t="b">
        <v>1</v>
      </c>
      <c r="F88" t="b">
        <v>0</v>
      </c>
      <c r="G88" t="s">
        <v>287</v>
      </c>
      <c r="H88" t="str">
        <f t="shared" si="1"/>
        <v>MVT_QINV</v>
      </c>
    </row>
    <row r="89" spans="1:8" x14ac:dyDescent="0.35">
      <c r="A89" t="s">
        <v>87</v>
      </c>
      <c r="B89" t="s">
        <v>206</v>
      </c>
      <c r="C89" t="s">
        <v>257</v>
      </c>
      <c r="D89" t="s">
        <v>257</v>
      </c>
      <c r="E89" t="b">
        <v>1</v>
      </c>
      <c r="F89" t="b">
        <v>0</v>
      </c>
      <c r="G89" t="s">
        <v>287</v>
      </c>
      <c r="H89" t="str">
        <f t="shared" si="1"/>
        <v>MVT_QTE</v>
      </c>
    </row>
    <row r="90" spans="1:8" x14ac:dyDescent="0.35">
      <c r="A90" t="s">
        <v>88</v>
      </c>
      <c r="B90" t="s">
        <v>207</v>
      </c>
      <c r="C90" t="s">
        <v>258</v>
      </c>
      <c r="D90" t="s">
        <v>273</v>
      </c>
      <c r="E90" t="b">
        <v>1</v>
      </c>
      <c r="F90" t="b">
        <v>0</v>
      </c>
      <c r="G90" t="s">
        <v>287</v>
      </c>
      <c r="H90" t="str">
        <f t="shared" si="1"/>
        <v>MVT REDA</v>
      </c>
    </row>
    <row r="91" spans="1:8" x14ac:dyDescent="0.35">
      <c r="A91" t="s">
        <v>89</v>
      </c>
      <c r="B91" t="s">
        <v>208</v>
      </c>
      <c r="C91" t="s">
        <v>247</v>
      </c>
      <c r="D91" t="s">
        <v>265</v>
      </c>
      <c r="E91" t="b">
        <v>1</v>
      </c>
      <c r="F91" t="b">
        <v>0</v>
      </c>
      <c r="G91" t="s">
        <v>287</v>
      </c>
      <c r="H91" t="str">
        <f t="shared" si="1"/>
        <v>MVT REF</v>
      </c>
    </row>
    <row r="92" spans="1:8" x14ac:dyDescent="0.35">
      <c r="A92" t="s">
        <v>90</v>
      </c>
      <c r="B92" t="s">
        <v>209</v>
      </c>
      <c r="C92" t="s">
        <v>251</v>
      </c>
      <c r="D92" t="s">
        <v>269</v>
      </c>
      <c r="E92" t="b">
        <v>1</v>
      </c>
      <c r="F92" t="b">
        <v>0</v>
      </c>
      <c r="G92" t="s">
        <v>287</v>
      </c>
      <c r="H92" t="str">
        <f t="shared" si="1"/>
        <v>MVT_REHE</v>
      </c>
    </row>
    <row r="93" spans="1:8" x14ac:dyDescent="0.35">
      <c r="A93" t="s">
        <v>91</v>
      </c>
      <c r="B93" t="s">
        <v>210</v>
      </c>
      <c r="C93" t="s">
        <v>245</v>
      </c>
      <c r="D93" t="s">
        <v>263</v>
      </c>
      <c r="E93" t="b">
        <v>1</v>
      </c>
      <c r="F93" t="b">
        <v>0</v>
      </c>
      <c r="G93" t="s">
        <v>287</v>
      </c>
      <c r="H93" t="str">
        <f t="shared" si="1"/>
        <v>MVT_REQI</v>
      </c>
    </row>
    <row r="94" spans="1:8" x14ac:dyDescent="0.35">
      <c r="A94" t="s">
        <v>92</v>
      </c>
      <c r="B94" t="s">
        <v>211</v>
      </c>
      <c r="C94" t="s">
        <v>259</v>
      </c>
      <c r="D94" t="s">
        <v>274</v>
      </c>
      <c r="E94" t="b">
        <v>1</v>
      </c>
      <c r="F94" t="b">
        <v>0</v>
      </c>
      <c r="G94" t="s">
        <v>287</v>
      </c>
      <c r="H94" t="str">
        <f t="shared" si="1"/>
        <v>MVT_RETP</v>
      </c>
    </row>
    <row r="95" spans="1:8" x14ac:dyDescent="0.35">
      <c r="A95" t="s">
        <v>93</v>
      </c>
      <c r="B95" t="s">
        <v>212</v>
      </c>
      <c r="C95" t="s">
        <v>260</v>
      </c>
      <c r="D95" t="s">
        <v>275</v>
      </c>
      <c r="E95" t="b">
        <v>1</v>
      </c>
      <c r="F95" t="b">
        <v>0</v>
      </c>
      <c r="G95" t="s">
        <v>287</v>
      </c>
      <c r="H95" t="str">
        <f t="shared" si="1"/>
        <v>MVT_SENS</v>
      </c>
    </row>
    <row r="96" spans="1:8" x14ac:dyDescent="0.35">
      <c r="A96" t="s">
        <v>94</v>
      </c>
      <c r="B96" t="s">
        <v>213</v>
      </c>
      <c r="C96" t="s">
        <v>259</v>
      </c>
      <c r="D96" t="s">
        <v>274</v>
      </c>
      <c r="E96" t="b">
        <v>1</v>
      </c>
      <c r="F96" t="b">
        <v>0</v>
      </c>
      <c r="G96" t="s">
        <v>287</v>
      </c>
      <c r="H96" t="str">
        <f t="shared" si="1"/>
        <v>MVT_TCTR</v>
      </c>
    </row>
    <row r="97" spans="1:8" x14ac:dyDescent="0.35">
      <c r="A97" t="s">
        <v>95</v>
      </c>
      <c r="B97" t="s">
        <v>214</v>
      </c>
      <c r="C97" t="s">
        <v>259</v>
      </c>
      <c r="D97" t="s">
        <v>274</v>
      </c>
      <c r="E97" t="b">
        <v>1</v>
      </c>
      <c r="F97" t="b">
        <v>0</v>
      </c>
      <c r="G97" t="s">
        <v>287</v>
      </c>
      <c r="H97" t="str">
        <f t="shared" si="1"/>
        <v>MVT_TOP1</v>
      </c>
    </row>
    <row r="98" spans="1:8" x14ac:dyDescent="0.35">
      <c r="A98" t="s">
        <v>96</v>
      </c>
      <c r="B98" t="s">
        <v>215</v>
      </c>
      <c r="C98" t="s">
        <v>259</v>
      </c>
      <c r="D98" t="s">
        <v>274</v>
      </c>
      <c r="E98" t="b">
        <v>1</v>
      </c>
      <c r="F98" t="b">
        <v>0</v>
      </c>
      <c r="G98" t="s">
        <v>287</v>
      </c>
      <c r="H98" t="str">
        <f t="shared" si="1"/>
        <v>MVT_TOP2</v>
      </c>
    </row>
    <row r="99" spans="1:8" x14ac:dyDescent="0.35">
      <c r="A99" t="s">
        <v>97</v>
      </c>
      <c r="B99" t="s">
        <v>216</v>
      </c>
      <c r="C99" t="s">
        <v>259</v>
      </c>
      <c r="D99" t="s">
        <v>274</v>
      </c>
      <c r="E99" t="b">
        <v>1</v>
      </c>
      <c r="F99" t="b">
        <v>0</v>
      </c>
      <c r="G99" t="s">
        <v>287</v>
      </c>
      <c r="H99" t="str">
        <f t="shared" si="1"/>
        <v>MVT_TOP3</v>
      </c>
    </row>
    <row r="100" spans="1:8" x14ac:dyDescent="0.35">
      <c r="A100" t="s">
        <v>98</v>
      </c>
      <c r="B100" t="s">
        <v>217</v>
      </c>
      <c r="C100" t="s">
        <v>259</v>
      </c>
      <c r="D100" t="s">
        <v>274</v>
      </c>
      <c r="E100" t="b">
        <v>1</v>
      </c>
      <c r="F100" t="b">
        <v>0</v>
      </c>
      <c r="G100" t="s">
        <v>287</v>
      </c>
      <c r="H100" t="str">
        <f t="shared" si="1"/>
        <v>MVT_TOP4</v>
      </c>
    </row>
    <row r="101" spans="1:8" x14ac:dyDescent="0.35">
      <c r="A101" t="s">
        <v>99</v>
      </c>
      <c r="B101" t="s">
        <v>218</v>
      </c>
      <c r="C101" t="s">
        <v>259</v>
      </c>
      <c r="D101" t="s">
        <v>274</v>
      </c>
      <c r="E101" t="b">
        <v>1</v>
      </c>
      <c r="F101" t="b">
        <v>0</v>
      </c>
      <c r="G101" t="s">
        <v>287</v>
      </c>
      <c r="H101" t="str">
        <f t="shared" si="1"/>
        <v>MVT_TOP5</v>
      </c>
    </row>
    <row r="102" spans="1:8" x14ac:dyDescent="0.35">
      <c r="A102" t="s">
        <v>100</v>
      </c>
      <c r="B102" t="s">
        <v>219</v>
      </c>
      <c r="C102" t="s">
        <v>259</v>
      </c>
      <c r="D102" t="s">
        <v>274</v>
      </c>
      <c r="E102" t="b">
        <v>1</v>
      </c>
      <c r="F102" t="b">
        <v>0</v>
      </c>
      <c r="G102" t="s">
        <v>287</v>
      </c>
      <c r="H102" t="str">
        <f t="shared" si="1"/>
        <v>MVT TOPE</v>
      </c>
    </row>
    <row r="103" spans="1:8" x14ac:dyDescent="0.35">
      <c r="A103" t="s">
        <v>101</v>
      </c>
      <c r="B103" t="s">
        <v>220</v>
      </c>
      <c r="C103" t="s">
        <v>259</v>
      </c>
      <c r="D103" t="s">
        <v>274</v>
      </c>
      <c r="E103" t="b">
        <v>1</v>
      </c>
      <c r="F103" t="b">
        <v>0</v>
      </c>
      <c r="G103" t="s">
        <v>287</v>
      </c>
      <c r="H103" t="str">
        <f t="shared" si="1"/>
        <v>MVT_TPEC</v>
      </c>
    </row>
    <row r="104" spans="1:8" x14ac:dyDescent="0.35">
      <c r="A104" t="s">
        <v>102</v>
      </c>
      <c r="B104" t="s">
        <v>221</v>
      </c>
      <c r="C104" t="s">
        <v>248</v>
      </c>
      <c r="D104" t="s">
        <v>266</v>
      </c>
      <c r="E104" t="b">
        <v>0</v>
      </c>
      <c r="F104" t="b">
        <v>1</v>
      </c>
      <c r="G104" t="s">
        <v>284</v>
      </c>
      <c r="H104" t="str">
        <f t="shared" si="1"/>
        <v>OFE_NOOE</v>
      </c>
    </row>
    <row r="105" spans="1:8" x14ac:dyDescent="0.35">
      <c r="A105" t="s">
        <v>103</v>
      </c>
      <c r="B105" t="s">
        <v>222</v>
      </c>
      <c r="C105" t="s">
        <v>261</v>
      </c>
      <c r="D105" t="s">
        <v>276</v>
      </c>
      <c r="E105" t="b">
        <v>0</v>
      </c>
      <c r="F105" t="b">
        <v>1</v>
      </c>
      <c r="G105" t="s">
        <v>284</v>
      </c>
      <c r="H105" t="str">
        <f t="shared" si="1"/>
        <v>OFE_REF</v>
      </c>
    </row>
    <row r="106" spans="1:8" x14ac:dyDescent="0.35">
      <c r="A106" t="s">
        <v>104</v>
      </c>
      <c r="B106" t="s">
        <v>223</v>
      </c>
      <c r="C106" t="s">
        <v>252</v>
      </c>
      <c r="D106" t="s">
        <v>266</v>
      </c>
      <c r="E106" t="b">
        <v>0</v>
      </c>
      <c r="F106" t="b">
        <v>1</v>
      </c>
      <c r="G106" t="s">
        <v>284</v>
      </c>
      <c r="H106" t="str">
        <f t="shared" si="1"/>
        <v>OFF_NORL</v>
      </c>
    </row>
    <row r="107" spans="1:8" x14ac:dyDescent="0.35">
      <c r="A107" t="s">
        <v>105</v>
      </c>
      <c r="B107" t="s">
        <v>224</v>
      </c>
      <c r="C107" t="s">
        <v>252</v>
      </c>
      <c r="D107" t="s">
        <v>266</v>
      </c>
      <c r="E107" t="b">
        <v>0</v>
      </c>
      <c r="F107" t="b">
        <v>1</v>
      </c>
      <c r="G107" t="s">
        <v>284</v>
      </c>
      <c r="H107" t="str">
        <f t="shared" si="1"/>
        <v>OFL_NOOL</v>
      </c>
    </row>
    <row r="108" spans="1:8" x14ac:dyDescent="0.35">
      <c r="A108" t="s">
        <v>106</v>
      </c>
      <c r="B108" t="s">
        <v>225</v>
      </c>
      <c r="C108" t="s">
        <v>248</v>
      </c>
      <c r="D108" t="s">
        <v>266</v>
      </c>
      <c r="E108" t="b">
        <v>0</v>
      </c>
      <c r="F108" t="b">
        <v>1</v>
      </c>
      <c r="G108" t="s">
        <v>288</v>
      </c>
      <c r="H108" t="str">
        <f t="shared" si="1"/>
        <v>OPE_NOOE</v>
      </c>
    </row>
    <row r="109" spans="1:8" x14ac:dyDescent="0.35">
      <c r="A109" t="s">
        <v>107</v>
      </c>
      <c r="B109" t="s">
        <v>226</v>
      </c>
      <c r="C109" t="s">
        <v>247</v>
      </c>
      <c r="D109" t="s">
        <v>265</v>
      </c>
      <c r="E109" t="b">
        <v>0</v>
      </c>
      <c r="F109" t="b">
        <v>1</v>
      </c>
      <c r="G109" t="s">
        <v>288</v>
      </c>
      <c r="H109" t="str">
        <f t="shared" si="1"/>
        <v>OPE_REDO</v>
      </c>
    </row>
    <row r="110" spans="1:8" x14ac:dyDescent="0.35">
      <c r="A110" t="s">
        <v>108</v>
      </c>
      <c r="B110" t="s">
        <v>227</v>
      </c>
      <c r="C110" t="s">
        <v>247</v>
      </c>
      <c r="D110" t="s">
        <v>265</v>
      </c>
      <c r="E110" t="b">
        <v>0</v>
      </c>
      <c r="F110" t="b">
        <v>1</v>
      </c>
      <c r="G110" t="s">
        <v>288</v>
      </c>
      <c r="H110" t="str">
        <f t="shared" si="1"/>
        <v>OPE_RTIE</v>
      </c>
    </row>
    <row r="111" spans="1:8" x14ac:dyDescent="0.35">
      <c r="A111" t="s">
        <v>109</v>
      </c>
      <c r="B111" t="s">
        <v>228</v>
      </c>
      <c r="C111" t="s">
        <v>244</v>
      </c>
      <c r="D111" t="s">
        <v>262</v>
      </c>
      <c r="E111" t="b">
        <v>0</v>
      </c>
      <c r="F111" t="b">
        <v>1</v>
      </c>
      <c r="G111" t="s">
        <v>288</v>
      </c>
      <c r="H111" t="str">
        <f t="shared" si="1"/>
        <v>OPE_TYCO</v>
      </c>
    </row>
    <row r="112" spans="1:8" x14ac:dyDescent="0.35">
      <c r="A112" t="s">
        <v>110</v>
      </c>
      <c r="B112" t="s">
        <v>229</v>
      </c>
      <c r="C112" t="s">
        <v>252</v>
      </c>
      <c r="D112" t="s">
        <v>266</v>
      </c>
      <c r="E112" t="b">
        <v>0</v>
      </c>
      <c r="F112" t="b">
        <v>1</v>
      </c>
      <c r="G112" t="s">
        <v>289</v>
      </c>
      <c r="H112" t="str">
        <f t="shared" si="1"/>
        <v>OPL NOOL</v>
      </c>
    </row>
    <row r="113" spans="1:8" x14ac:dyDescent="0.35">
      <c r="A113" t="s">
        <v>111</v>
      </c>
      <c r="B113" t="s">
        <v>230</v>
      </c>
      <c r="C113" t="s">
        <v>253</v>
      </c>
      <c r="D113" t="s">
        <v>270</v>
      </c>
      <c r="E113" t="b">
        <v>0</v>
      </c>
      <c r="F113" t="b">
        <v>1</v>
      </c>
      <c r="G113" t="s">
        <v>283</v>
      </c>
      <c r="H113" t="str">
        <f t="shared" si="1"/>
        <v>QUA_CODE</v>
      </c>
    </row>
    <row r="114" spans="1:8" x14ac:dyDescent="0.35">
      <c r="A114" t="s">
        <v>112</v>
      </c>
      <c r="B114" t="s">
        <v>231</v>
      </c>
      <c r="C114" t="s">
        <v>246</v>
      </c>
      <c r="D114" t="s">
        <v>264</v>
      </c>
      <c r="E114" t="b">
        <v>0</v>
      </c>
      <c r="F114" t="b">
        <v>1</v>
      </c>
      <c r="G114" t="s">
        <v>290</v>
      </c>
      <c r="H114" t="str">
        <f t="shared" si="1"/>
        <v>REA_CTAD</v>
      </c>
    </row>
    <row r="115" spans="1:8" x14ac:dyDescent="0.35">
      <c r="A115" t="s">
        <v>113</v>
      </c>
      <c r="B115" t="s">
        <v>232</v>
      </c>
      <c r="C115" t="s">
        <v>246</v>
      </c>
      <c r="D115" t="s">
        <v>264</v>
      </c>
      <c r="E115" t="b">
        <v>0</v>
      </c>
      <c r="F115" t="b">
        <v>1</v>
      </c>
      <c r="G115" t="s">
        <v>290</v>
      </c>
      <c r="H115" t="str">
        <f t="shared" si="1"/>
        <v>REA_CTAF</v>
      </c>
    </row>
    <row r="116" spans="1:8" x14ac:dyDescent="0.35">
      <c r="A116" t="s">
        <v>114</v>
      </c>
      <c r="B116" t="s">
        <v>233</v>
      </c>
      <c r="C116" t="s">
        <v>252</v>
      </c>
      <c r="D116" t="s">
        <v>266</v>
      </c>
      <c r="E116" t="b">
        <v>0</v>
      </c>
      <c r="F116" t="b">
        <v>1</v>
      </c>
      <c r="G116" t="s">
        <v>290</v>
      </c>
      <c r="H116" t="str">
        <f t="shared" si="1"/>
        <v>REA_NOLR</v>
      </c>
    </row>
    <row r="117" spans="1:8" x14ac:dyDescent="0.35">
      <c r="A117" t="s">
        <v>115</v>
      </c>
      <c r="B117" t="s">
        <v>234</v>
      </c>
      <c r="C117" t="s">
        <v>261</v>
      </c>
      <c r="D117" t="s">
        <v>276</v>
      </c>
      <c r="E117" t="b">
        <v>0</v>
      </c>
      <c r="F117" t="b">
        <v>1</v>
      </c>
      <c r="G117" t="s">
        <v>290</v>
      </c>
      <c r="H117" t="str">
        <f t="shared" si="1"/>
        <v>REA RFAF</v>
      </c>
    </row>
    <row r="118" spans="1:8" x14ac:dyDescent="0.35">
      <c r="A118" t="s">
        <v>116</v>
      </c>
      <c r="B118" t="s">
        <v>235</v>
      </c>
      <c r="C118" t="s">
        <v>247</v>
      </c>
      <c r="D118" t="s">
        <v>265</v>
      </c>
      <c r="E118" t="b">
        <v>0</v>
      </c>
      <c r="F118" t="b">
        <v>1</v>
      </c>
      <c r="G118" t="s">
        <v>290</v>
      </c>
      <c r="H118" t="str">
        <f t="shared" si="1"/>
        <v>REA_RFCE</v>
      </c>
    </row>
    <row r="119" spans="1:8" x14ac:dyDescent="0.35">
      <c r="A119" t="s">
        <v>117</v>
      </c>
      <c r="B119" t="s">
        <v>236</v>
      </c>
      <c r="C119" t="s">
        <v>261</v>
      </c>
      <c r="D119" t="s">
        <v>276</v>
      </c>
      <c r="E119" t="b">
        <v>0</v>
      </c>
      <c r="F119" t="b">
        <v>1</v>
      </c>
      <c r="G119" t="s">
        <v>290</v>
      </c>
      <c r="H119" t="str">
        <f t="shared" si="1"/>
        <v>REA RFCL</v>
      </c>
    </row>
    <row r="120" spans="1:8" x14ac:dyDescent="0.35">
      <c r="A120" t="s">
        <v>118</v>
      </c>
      <c r="B120" t="s">
        <v>227</v>
      </c>
      <c r="C120" t="s">
        <v>261</v>
      </c>
      <c r="D120" t="s">
        <v>276</v>
      </c>
      <c r="E120" t="b">
        <v>0</v>
      </c>
      <c r="F120" t="b">
        <v>1</v>
      </c>
      <c r="G120" t="s">
        <v>290</v>
      </c>
      <c r="H120" t="str">
        <f t="shared" si="1"/>
        <v>REA_RFTI</v>
      </c>
    </row>
    <row r="121" spans="1:8" x14ac:dyDescent="0.35">
      <c r="A121" t="s">
        <v>119</v>
      </c>
      <c r="B121" t="s">
        <v>237</v>
      </c>
      <c r="C121" t="s">
        <v>252</v>
      </c>
      <c r="D121" t="s">
        <v>266</v>
      </c>
      <c r="E121" t="b">
        <v>0</v>
      </c>
      <c r="F121" t="b">
        <v>1</v>
      </c>
      <c r="G121" t="s">
        <v>291</v>
      </c>
      <c r="H121" t="str">
        <f t="shared" si="1"/>
        <v>REL_NORL</v>
      </c>
    </row>
    <row r="122" spans="1:8" x14ac:dyDescent="0.35">
      <c r="A122" t="s">
        <v>120</v>
      </c>
      <c r="B122" t="s">
        <v>238</v>
      </c>
      <c r="C122" t="s">
        <v>253</v>
      </c>
      <c r="D122" t="s">
        <v>270</v>
      </c>
      <c r="E122" t="b">
        <v>0</v>
      </c>
      <c r="F122" t="b">
        <v>1</v>
      </c>
      <c r="G122" t="s">
        <v>284</v>
      </c>
      <c r="H122" t="str">
        <f t="shared" si="1"/>
        <v>SDO CODE</v>
      </c>
    </row>
    <row r="123" spans="1:8" x14ac:dyDescent="0.35">
      <c r="A123" t="s">
        <v>121</v>
      </c>
      <c r="B123" t="s">
        <v>239</v>
      </c>
      <c r="C123" t="s">
        <v>253</v>
      </c>
      <c r="D123" t="s">
        <v>270</v>
      </c>
      <c r="E123" t="b">
        <v>0</v>
      </c>
      <c r="F123" t="b">
        <v>1</v>
      </c>
      <c r="G123" t="s">
        <v>292</v>
      </c>
      <c r="H123" t="str">
        <f t="shared" si="1"/>
        <v>STK SSUP</v>
      </c>
    </row>
    <row r="124" spans="1:8" x14ac:dyDescent="0.35">
      <c r="A124" t="s">
        <v>122</v>
      </c>
      <c r="B124" t="s">
        <v>240</v>
      </c>
      <c r="C124" t="s">
        <v>261</v>
      </c>
      <c r="D124" t="s">
        <v>276</v>
      </c>
      <c r="E124" t="b">
        <v>0</v>
      </c>
      <c r="F124" t="b">
        <v>1</v>
      </c>
      <c r="G124" t="s">
        <v>292</v>
      </c>
      <c r="H124" t="str">
        <f t="shared" si="1"/>
        <v>STK_SURG</v>
      </c>
    </row>
    <row r="125" spans="1:8" x14ac:dyDescent="0.35">
      <c r="A125" t="s">
        <v>123</v>
      </c>
      <c r="B125" t="s">
        <v>214</v>
      </c>
      <c r="C125" t="s">
        <v>259</v>
      </c>
      <c r="D125" t="s">
        <v>274</v>
      </c>
      <c r="E125" t="b">
        <v>0</v>
      </c>
      <c r="F125" t="b">
        <v>1</v>
      </c>
      <c r="G125" t="s">
        <v>292</v>
      </c>
      <c r="H125" t="str">
        <f t="shared" si="1"/>
        <v>STK TOP1</v>
      </c>
    </row>
    <row r="126" spans="1:8" x14ac:dyDescent="0.35">
      <c r="A126" t="s">
        <v>124</v>
      </c>
      <c r="B126" t="s">
        <v>215</v>
      </c>
      <c r="C126" t="s">
        <v>259</v>
      </c>
      <c r="D126" t="s">
        <v>274</v>
      </c>
      <c r="E126" t="b">
        <v>0</v>
      </c>
      <c r="F126" t="b">
        <v>1</v>
      </c>
      <c r="G126" t="s">
        <v>292</v>
      </c>
      <c r="H126" t="str">
        <f t="shared" si="1"/>
        <v>STK TOP2</v>
      </c>
    </row>
    <row r="127" spans="1:8" x14ac:dyDescent="0.35">
      <c r="A127" t="s">
        <v>125</v>
      </c>
      <c r="B127" t="s">
        <v>216</v>
      </c>
      <c r="C127" t="s">
        <v>259</v>
      </c>
      <c r="D127" t="s">
        <v>274</v>
      </c>
      <c r="E127" t="b">
        <v>0</v>
      </c>
      <c r="F127" t="b">
        <v>1</v>
      </c>
      <c r="G127" t="s">
        <v>292</v>
      </c>
      <c r="H127" t="str">
        <f t="shared" si="1"/>
        <v>STK_TOP3</v>
      </c>
    </row>
    <row r="128" spans="1:8" x14ac:dyDescent="0.35">
      <c r="A128" t="s">
        <v>126</v>
      </c>
      <c r="B128" t="s">
        <v>217</v>
      </c>
      <c r="C128" t="s">
        <v>259</v>
      </c>
      <c r="D128" t="s">
        <v>274</v>
      </c>
      <c r="E128" t="b">
        <v>0</v>
      </c>
      <c r="F128" t="b">
        <v>1</v>
      </c>
      <c r="G128" t="s">
        <v>292</v>
      </c>
      <c r="H128" t="str">
        <f t="shared" si="1"/>
        <v>STK TOP4</v>
      </c>
    </row>
    <row r="129" spans="1:8" x14ac:dyDescent="0.35">
      <c r="A129" t="s">
        <v>127</v>
      </c>
      <c r="B129" t="s">
        <v>218</v>
      </c>
      <c r="C129" t="s">
        <v>259</v>
      </c>
      <c r="D129" t="s">
        <v>274</v>
      </c>
      <c r="E129" t="b">
        <v>0</v>
      </c>
      <c r="F129" t="b">
        <v>1</v>
      </c>
      <c r="G129" t="s">
        <v>292</v>
      </c>
      <c r="H129" t="str">
        <f t="shared" si="1"/>
        <v>STK TOP5</v>
      </c>
    </row>
    <row r="130" spans="1:8" x14ac:dyDescent="0.35">
      <c r="A130" t="s">
        <v>128</v>
      </c>
      <c r="B130" t="s">
        <v>241</v>
      </c>
      <c r="C130" t="s">
        <v>251</v>
      </c>
      <c r="D130" t="s">
        <v>269</v>
      </c>
      <c r="E130" t="b">
        <v>0</v>
      </c>
      <c r="F130" t="b">
        <v>1</v>
      </c>
      <c r="G130" t="s">
        <v>292</v>
      </c>
      <c r="H130" t="str">
        <f t="shared" si="1"/>
        <v>STK ZONE</v>
      </c>
    </row>
    <row r="131" spans="1:8" x14ac:dyDescent="0.35">
      <c r="A131" t="s">
        <v>129</v>
      </c>
      <c r="B131" t="s">
        <v>242</v>
      </c>
      <c r="C131" t="s">
        <v>251</v>
      </c>
      <c r="D131" t="s">
        <v>269</v>
      </c>
      <c r="E131" t="b">
        <v>0</v>
      </c>
      <c r="F131" t="b">
        <v>1</v>
      </c>
      <c r="G131" t="s">
        <v>292</v>
      </c>
      <c r="H131" t="str">
        <f t="shared" ref="H131:H136" si="2">A131</f>
        <v>STK ZONP</v>
      </c>
    </row>
    <row r="132" spans="1:8" x14ac:dyDescent="0.35">
      <c r="A132" t="s">
        <v>130</v>
      </c>
      <c r="B132" t="s">
        <v>243</v>
      </c>
      <c r="C132" t="s">
        <v>246</v>
      </c>
      <c r="D132" t="s">
        <v>264</v>
      </c>
      <c r="E132" t="b">
        <v>0</v>
      </c>
      <c r="F132" t="b">
        <v>1</v>
      </c>
      <c r="G132" t="s">
        <v>293</v>
      </c>
      <c r="H132" t="str">
        <f t="shared" si="2"/>
        <v>TIE_CODE</v>
      </c>
    </row>
    <row r="133" spans="1:8" x14ac:dyDescent="0.35">
      <c r="A133" t="s">
        <v>131</v>
      </c>
      <c r="B133" t="s">
        <v>142</v>
      </c>
      <c r="C133" t="s">
        <v>247</v>
      </c>
      <c r="D133" t="s">
        <v>265</v>
      </c>
      <c r="E133" t="b">
        <v>0</v>
      </c>
      <c r="F133" t="b">
        <v>1</v>
      </c>
      <c r="G133" t="s">
        <v>293</v>
      </c>
      <c r="H133" t="str">
        <f t="shared" si="2"/>
        <v>TIE LIB1</v>
      </c>
    </row>
    <row r="134" spans="1:8" x14ac:dyDescent="0.35">
      <c r="A134" t="s">
        <v>132</v>
      </c>
      <c r="B134" t="s">
        <v>142</v>
      </c>
      <c r="C134" t="s">
        <v>247</v>
      </c>
      <c r="D134" t="s">
        <v>265</v>
      </c>
      <c r="E134" t="b">
        <v>0</v>
      </c>
      <c r="F134" t="b">
        <v>1</v>
      </c>
      <c r="G134" t="s">
        <v>293</v>
      </c>
      <c r="H134" t="str">
        <f t="shared" si="2"/>
        <v>TIE_LIB2</v>
      </c>
    </row>
    <row r="135" spans="1:8" x14ac:dyDescent="0.35">
      <c r="A135" t="s">
        <v>133</v>
      </c>
      <c r="B135" t="s">
        <v>142</v>
      </c>
      <c r="C135" t="s">
        <v>247</v>
      </c>
      <c r="D135" t="s">
        <v>265</v>
      </c>
      <c r="E135" t="b">
        <v>0</v>
      </c>
      <c r="F135" t="b">
        <v>1</v>
      </c>
      <c r="G135" t="s">
        <v>293</v>
      </c>
      <c r="H135" t="str">
        <f t="shared" si="2"/>
        <v>TIE_LIB3</v>
      </c>
    </row>
    <row r="136" spans="1:8" x14ac:dyDescent="0.35">
      <c r="A136" t="s">
        <v>134</v>
      </c>
      <c r="B136" t="s">
        <v>142</v>
      </c>
      <c r="C136" t="s">
        <v>247</v>
      </c>
      <c r="D136" t="s">
        <v>265</v>
      </c>
      <c r="E136" t="b">
        <v>0</v>
      </c>
      <c r="F136" t="b">
        <v>1</v>
      </c>
      <c r="G136" t="s">
        <v>293</v>
      </c>
      <c r="H136" t="str">
        <f t="shared" si="2"/>
        <v>TIE_LIB4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2026-06-17T09:00:26+00:00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5F10A3EC-0158-495F-A51E-070CC5514011}"/>
</file>

<file path=customXml/itemProps2.xml><?xml version="1.0" encoding="utf-8"?>
<ds:datastoreItem xmlns:ds="http://schemas.openxmlformats.org/officeDocument/2006/customXml" ds:itemID="{E1E0FF2D-6A97-4D90-966D-0E1117C03689}"/>
</file>

<file path=customXml/itemProps3.xml><?xml version="1.0" encoding="utf-8"?>
<ds:datastoreItem xmlns:ds="http://schemas.openxmlformats.org/officeDocument/2006/customXml" ds:itemID="{BCB383F9-3115-46CA-8BFE-29437A152D53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Waseela Salim (AGL)</dc:creator>
  <cp:lastModifiedBy>Kgathola Puka (AGL)</cp:lastModifiedBy>
  <dcterms:created xsi:type="dcterms:W3CDTF">2026-02-13T10:00:58Z</dcterms:created>
  <dcterms:modified xsi:type="dcterms:W3CDTF">2026-03-02T09:45:23Z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