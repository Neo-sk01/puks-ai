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78" documentId="8_{5A2FC4AD-C851-4A60-8490-4040934780E0}" xr6:coauthVersionLast="47" xr6:coauthVersionMax="47" xr10:uidLastSave="{12426097-3E63-4DD8-A05D-FC2AEA56B807}"/>
  <bookViews>
    <workbookView xWindow="-673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2" i="1"/>
  <c r="H103" i="1"/>
  <c r="H104" i="1"/>
  <c r="H105" i="1"/>
  <c r="H106" i="1"/>
  <c r="H107" i="1"/>
  <c r="H108" i="1"/>
  <c r="H109" i="1"/>
  <c r="H110" i="1"/>
  <c r="H111" i="1"/>
  <c r="H2" i="1"/>
</calcChain>
</file>

<file path=xl/sharedStrings.xml><?xml version="1.0" encoding="utf-8"?>
<sst xmlns="http://schemas.openxmlformats.org/spreadsheetml/2006/main" count="566" uniqueCount="284">
  <si>
    <t>ACT_CODE</t>
  </si>
  <si>
    <t>ART_CNDC</t>
  </si>
  <si>
    <t>ART_CNDO</t>
  </si>
  <si>
    <t>ART_CNDP</t>
  </si>
  <si>
    <t>ART_CNDS</t>
  </si>
  <si>
    <t>ART_CNDU</t>
  </si>
  <si>
    <t>ART_CODE</t>
  </si>
  <si>
    <t>ART_EANC</t>
  </si>
  <si>
    <t>ART_EANO</t>
  </si>
  <si>
    <t>ART_EANP</t>
  </si>
  <si>
    <t>ART_EANS</t>
  </si>
  <si>
    <t>ART_EANU</t>
  </si>
  <si>
    <t>ART_QTEC</t>
  </si>
  <si>
    <t>ART_QTEO</t>
  </si>
  <si>
    <t>ART_QTEP</t>
  </si>
  <si>
    <t>ART_QTES</t>
  </si>
  <si>
    <t>ART_QTEU</t>
  </si>
  <si>
    <t>DOS_CODE</t>
  </si>
  <si>
    <t>GAB_CODE</t>
  </si>
  <si>
    <t>OFE_NOOE</t>
  </si>
  <si>
    <t>OFE_REF</t>
  </si>
  <si>
    <t>OFF_NORL</t>
  </si>
  <si>
    <t>OFL_NOOL</t>
  </si>
  <si>
    <t>QUA_CODE</t>
  </si>
  <si>
    <t>REA_BL</t>
  </si>
  <si>
    <t>REA_RFCE</t>
  </si>
  <si>
    <t>REA_RFCL</t>
  </si>
  <si>
    <t>REL_NORL</t>
  </si>
  <si>
    <t>RES_COM</t>
  </si>
  <si>
    <t>RES_CRDA</t>
  </si>
  <si>
    <t>RES_LIDA</t>
  </si>
  <si>
    <t>RES_MOTIF</t>
  </si>
  <si>
    <t>RES_QIRE</t>
  </si>
  <si>
    <t>SDO_CODE</t>
  </si>
  <si>
    <t>STK_ALLE</t>
  </si>
  <si>
    <t>STK_ALLP</t>
  </si>
  <si>
    <t>STK_ALPHA1-10</t>
  </si>
  <si>
    <t>STK_CASE</t>
  </si>
  <si>
    <t>STK_CASP</t>
  </si>
  <si>
    <t>STK_CFIS</t>
  </si>
  <si>
    <t>STK_CLAS</t>
  </si>
  <si>
    <t>STK_COL</t>
  </si>
  <si>
    <t>STK_COLP</t>
  </si>
  <si>
    <t>STK_COM</t>
  </si>
  <si>
    <t>STK_CRDA</t>
  </si>
  <si>
    <t>STK_CRHE</t>
  </si>
  <si>
    <t>STK_CRQI</t>
  </si>
  <si>
    <t>STK_CTIE</t>
  </si>
  <si>
    <t>STK_DAEN</t>
  </si>
  <si>
    <t>STK_DAEP</t>
  </si>
  <si>
    <t>STK_DAIV</t>
  </si>
  <si>
    <t>STK_DARG</t>
  </si>
  <si>
    <t>STK_DARS</t>
  </si>
  <si>
    <t>STK_DASO</t>
  </si>
  <si>
    <t>STK_DATE1-5</t>
  </si>
  <si>
    <t>STK_DFAB</t>
  </si>
  <si>
    <t>STK_DLC</t>
  </si>
  <si>
    <t>STK_DLUO</t>
  </si>
  <si>
    <t>STK_DLV</t>
  </si>
  <si>
    <t>STK_HEEP</t>
  </si>
  <si>
    <t>STK_HEIV</t>
  </si>
  <si>
    <t>STK_HERG</t>
  </si>
  <si>
    <t>STK_HERS</t>
  </si>
  <si>
    <t>STK_HEURE1-5</t>
  </si>
  <si>
    <t>STK_INPC</t>
  </si>
  <si>
    <t>STK_KEYU</t>
  </si>
  <si>
    <t>STK_LIEP</t>
  </si>
  <si>
    <t>STK_LIEU</t>
  </si>
  <si>
    <t>STK_LOT1-3</t>
  </si>
  <si>
    <t>STK_MODA</t>
  </si>
  <si>
    <t>STK_MOHE</t>
  </si>
  <si>
    <t>STK_MOQI</t>
  </si>
  <si>
    <t>STK_NIV</t>
  </si>
  <si>
    <t>STK_NIVP</t>
  </si>
  <si>
    <t>STK_NOER</t>
  </si>
  <si>
    <t>STK_NOLR</t>
  </si>
  <si>
    <t>STK_NORE</t>
  </si>
  <si>
    <t>STK_NORG</t>
  </si>
  <si>
    <t>STK_NOSU</t>
  </si>
  <si>
    <t>STK_NUM1-5</t>
  </si>
  <si>
    <t>STK_PDSE</t>
  </si>
  <si>
    <t>STK_POIBC</t>
  </si>
  <si>
    <t>STK_POIBO</t>
  </si>
  <si>
    <t>STK_POIBP</t>
  </si>
  <si>
    <t>STK_POIBS</t>
  </si>
  <si>
    <t>STK_POIBU</t>
  </si>
  <si>
    <t>STK_POISI</t>
  </si>
  <si>
    <t>STK_POITL</t>
  </si>
  <si>
    <t>STK_POITN</t>
  </si>
  <si>
    <t>STK_POIV</t>
  </si>
  <si>
    <t>STK_POSP</t>
  </si>
  <si>
    <t>STK_PRIX</t>
  </si>
  <si>
    <t>STK_PROP</t>
  </si>
  <si>
    <t>STK_PRQT</t>
  </si>
  <si>
    <t>STK_QIIV</t>
  </si>
  <si>
    <t>STK_QIRE</t>
  </si>
  <si>
    <t>STK_QIRG</t>
  </si>
  <si>
    <t>STK_QTE</t>
  </si>
  <si>
    <t>STK_QTPE</t>
  </si>
  <si>
    <t>STK_RETI</t>
  </si>
  <si>
    <t>STK_RFAF</t>
  </si>
  <si>
    <t>STK_RSTK</t>
  </si>
  <si>
    <t>STK_RSUC</t>
  </si>
  <si>
    <t>STK_RTRF</t>
  </si>
  <si>
    <t>STK_SSUP</t>
  </si>
  <si>
    <t>STK_SURG</t>
  </si>
  <si>
    <t>STK_TOP1-5</t>
  </si>
  <si>
    <t>STK_TRCH</t>
  </si>
  <si>
    <t>STK_ZONE</t>
  </si>
  <si>
    <t>STK_ZONP</t>
  </si>
  <si>
    <t>Activity code</t>
  </si>
  <si>
    <t>Package - Colis</t>
  </si>
  <si>
    <t>Package - Layer</t>
  </si>
  <si>
    <t>Package - Pallet</t>
  </si>
  <si>
    <t>Package - SPCB</t>
  </si>
  <si>
    <t>Package - Unit</t>
  </si>
  <si>
    <t>Article code</t>
  </si>
  <si>
    <t>Reserved BK</t>
  </si>
  <si>
    <t>Qty per Colis</t>
  </si>
  <si>
    <t>Qty per Layer</t>
  </si>
  <si>
    <t>Qty per Pallet</t>
  </si>
  <si>
    <t>Qty per SPCB</t>
  </si>
  <si>
    <t>Qty per Unit</t>
  </si>
  <si>
    <t>Folder code</t>
  </si>
  <si>
    <t>Template code</t>
  </si>
  <si>
    <t>Manufacturing order no</t>
  </si>
  <si>
    <t>Manufacturing reference</t>
  </si>
  <si>
    <t>Production line no</t>
  </si>
  <si>
    <t>Order line no</t>
  </si>
  <si>
    <t>Quality code</t>
  </si>
  <si>
    <t>Delivery note ref</t>
  </si>
  <si>
    <t>DO header ref</t>
  </si>
  <si>
    <t>DO line ref</t>
  </si>
  <si>
    <t>Reception line no</t>
  </si>
  <si>
    <t>Reservation comment</t>
  </si>
  <si>
    <t>Reservation creation datetime</t>
  </si>
  <si>
    <t>Reservation expiry date</t>
  </si>
  <si>
    <t>Reservation reason</t>
  </si>
  <si>
    <t>Reserved by</t>
  </si>
  <si>
    <t>Customs status</t>
  </si>
  <si>
    <t>Aisle</t>
  </si>
  <si>
    <t>Planned aisle</t>
  </si>
  <si>
    <t>Additional info A01-A10</t>
  </si>
  <si>
    <t>Location case</t>
  </si>
  <si>
    <t>Planned case</t>
  </si>
  <si>
    <t>Fiscality code</t>
  </si>
  <si>
    <t>Class code</t>
  </si>
  <si>
    <t>Column</t>
  </si>
  <si>
    <t>Planned column</t>
  </si>
  <si>
    <t>Comments</t>
  </si>
  <si>
    <t>Creation date</t>
  </si>
  <si>
    <t>Creation time</t>
  </si>
  <si>
    <t>Created by</t>
  </si>
  <si>
    <t>Entry third party</t>
  </si>
  <si>
    <t>Stock entry date</t>
  </si>
  <si>
    <t>Planned transfer execution date</t>
  </si>
  <si>
    <t>Inventory date</t>
  </si>
  <si>
    <t>Putaway date</t>
  </si>
  <si>
    <t>Location search date</t>
  </si>
  <si>
    <t>Exit date</t>
  </si>
  <si>
    <t>Additional dates D01-D05</t>
  </si>
  <si>
    <t>Manufacturing date</t>
  </si>
  <si>
    <t>Expiry date (DLC)</t>
  </si>
  <si>
    <t>Best-before date</t>
  </si>
  <si>
    <t>Delivery date</t>
  </si>
  <si>
    <t>Planned transfer time</t>
  </si>
  <si>
    <t>Inventory time</t>
  </si>
  <si>
    <t>Putaway time</t>
  </si>
  <si>
    <t>Location search time</t>
  </si>
  <si>
    <t>Additional times H01-H05</t>
  </si>
  <si>
    <t>Forklift priority index</t>
  </si>
  <si>
    <t>Stock unique key</t>
  </si>
  <si>
    <t>Planned location</t>
  </si>
  <si>
    <t>Location</t>
  </si>
  <si>
    <t>Lot numbers</t>
  </si>
  <si>
    <t>Modification date</t>
  </si>
  <si>
    <t>Modification time</t>
  </si>
  <si>
    <t>Modified by</t>
  </si>
  <si>
    <t>Level</t>
  </si>
  <si>
    <t>Planned level</t>
  </si>
  <si>
    <t>Distribution header no</t>
  </si>
  <si>
    <t>Distribution line no</t>
  </si>
  <si>
    <t>Reception number</t>
  </si>
  <si>
    <t>Grouping order no</t>
  </si>
  <si>
    <t>Support number</t>
  </si>
  <si>
    <t>Additional numerics N01-N05</t>
  </si>
  <si>
    <t>Variable entry weight</t>
  </si>
  <si>
    <t>Gross weight colis (g)</t>
  </si>
  <si>
    <t>Gross weight layer (g)</t>
  </si>
  <si>
    <t>Gross weight pallet (g)</t>
  </si>
  <si>
    <t>Gross weight SPCB (g)</t>
  </si>
  <si>
    <t>Gross weight unit (g)</t>
  </si>
  <si>
    <t>Position</t>
  </si>
  <si>
    <t>Total gross weight (g)</t>
  </si>
  <si>
    <t>Net total weight</t>
  </si>
  <si>
    <t>Variable weight</t>
  </si>
  <si>
    <t>Planned position</t>
  </si>
  <si>
    <t>Unit price</t>
  </si>
  <si>
    <t>Owner</t>
  </si>
  <si>
    <t>Price quantity</t>
  </si>
  <si>
    <t>Inventory operator</t>
  </si>
  <si>
    <t>Transfer operator</t>
  </si>
  <si>
    <t>Putaway operator</t>
  </si>
  <si>
    <t>Stock quantity</t>
  </si>
  <si>
    <t>Total quantity</t>
  </si>
  <si>
    <t>Entry third-party ref</t>
  </si>
  <si>
    <t>Allocation reference</t>
  </si>
  <si>
    <t>Storage rule</t>
  </si>
  <si>
    <t>Client support reference</t>
  </si>
  <si>
    <t>Transfer grouping</t>
  </si>
  <si>
    <t>Support status</t>
  </si>
  <si>
    <t>Grouping support</t>
  </si>
  <si>
    <t>Flags T01-T05</t>
  </si>
  <si>
    <t>Successful search flag</t>
  </si>
  <si>
    <t>Warehouse zone</t>
  </si>
  <si>
    <t>Planned warehouse zone</t>
  </si>
  <si>
    <t>VARCHAR(10)</t>
  </si>
  <si>
    <t>VARCHAR(15)</t>
  </si>
  <si>
    <t>VARCHAR(35)</t>
  </si>
  <si>
    <t>VARCHAR(30)</t>
  </si>
  <si>
    <t>VARCHAR(25)</t>
  </si>
  <si>
    <t>BIGINT</t>
  </si>
  <si>
    <t>VARCHAR(20)</t>
  </si>
  <si>
    <t>NUMERIC(10)</t>
  </si>
  <si>
    <t>VARCHAR(5)</t>
  </si>
  <si>
    <t>VARCHAR(50)</t>
  </si>
  <si>
    <t>TEXT</t>
  </si>
  <si>
    <t>VARCHAR(16)</t>
  </si>
  <si>
    <t>VARCHAR(8)</t>
  </si>
  <si>
    <t>VARCHAR(3)</t>
  </si>
  <si>
    <t>VARCHAR(1)</t>
  </si>
  <si>
    <t>DATETIME</t>
  </si>
  <si>
    <t>VARCHAR(6)</t>
  </si>
  <si>
    <t>VARCHAR(100)</t>
  </si>
  <si>
    <t>FLOAT</t>
  </si>
  <si>
    <t>TINYINT</t>
  </si>
  <si>
    <t>NVARCHAR2(10)</t>
  </si>
  <si>
    <t>NVARCHAR2(15)</t>
  </si>
  <si>
    <t>NVARCHAR2(35)</t>
  </si>
  <si>
    <t>NVARCHAR2(30)</t>
  </si>
  <si>
    <t>NVARCHAR2(25)</t>
  </si>
  <si>
    <t>INTEGER</t>
  </si>
  <si>
    <t>NVARCHAR2(20)</t>
  </si>
  <si>
    <t>NVARCHAR2(5)</t>
  </si>
  <si>
    <t>NVARCHAR2(50)</t>
  </si>
  <si>
    <t>CLOB</t>
  </si>
  <si>
    <t>NVARCHAR2(16)</t>
  </si>
  <si>
    <t>NVARCHAR2(8)</t>
  </si>
  <si>
    <t>NVARCHAR2(3)</t>
  </si>
  <si>
    <t>NVARCHAR2(1)</t>
  </si>
  <si>
    <t>NCHAR(8)</t>
  </si>
  <si>
    <t>NVARCHAR2(6)</t>
  </si>
  <si>
    <t>NVARCHAR2(100)</t>
  </si>
  <si>
    <t>SMALLINT</t>
  </si>
  <si>
    <t>is_primary_key</t>
  </si>
  <si>
    <t>is_foreign_key</t>
  </si>
  <si>
    <t>references_table</t>
  </si>
  <si>
    <t>references_column</t>
  </si>
  <si>
    <t>ACT_PAR</t>
  </si>
  <si>
    <t>ART_PAR</t>
  </si>
  <si>
    <t>QUA_PAR</t>
  </si>
  <si>
    <t>REA_DAT</t>
  </si>
  <si>
    <t>REL_DAT</t>
  </si>
  <si>
    <t>RES_DAT</t>
  </si>
  <si>
    <t>NULL</t>
  </si>
  <si>
    <t>Table_name</t>
  </si>
  <si>
    <t>Primary_Key</t>
  </si>
  <si>
    <t>stk_keyu</t>
  </si>
  <si>
    <t>Current Stock Table</t>
  </si>
  <si>
    <t>REE_DAT</t>
  </si>
  <si>
    <t>REE_NORE</t>
  </si>
  <si>
    <t>REE_NOFO</t>
  </si>
  <si>
    <t>DOS_DAT</t>
  </si>
  <si>
    <t>GAB_PAR</t>
  </si>
  <si>
    <t>OFE_DAT</t>
  </si>
  <si>
    <t>OFF_DAT</t>
  </si>
  <si>
    <t>OFL_DAT</t>
  </si>
  <si>
    <t>SDO_PAR</t>
  </si>
  <si>
    <t>Column_Name</t>
  </si>
  <si>
    <t>Column_Description</t>
  </si>
  <si>
    <t>SQL_Server_Data_Type</t>
  </si>
  <si>
    <t>Oracle_Data_Type</t>
  </si>
  <si>
    <t>Table_Description</t>
  </si>
  <si>
    <t>STK_DAT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</si>
</sst>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8C8E6-6DC9-4B02-A4C3-A8E2C45CD287}" name="Table1" displayName="Table1" ref="A1:K111" totalsRowShown="0" headerRowDxfId="1" headerRowBorderDxfId="0">
  <autoFilter ref="A1:K111" xr:uid="{00000000-0001-0000-0000-000000000000}"/>
  <tableColumns count="11">
    <tableColumn id="1" xr3:uid="{B3DF4716-B46C-4C68-BBB1-0D9C667E2B25}" name="Column_Name"/>
    <tableColumn id="2" xr3:uid="{C0858A47-CE76-4B71-B0DD-3C36C74BBC5D}" name="Column_Description"/>
    <tableColumn id="3" xr3:uid="{3EDD9604-76FA-42D3-B0D7-FDE5EDCCF8D7}" name="SQL_Server_Data_Type"/>
    <tableColumn id="4" xr3:uid="{354C35B4-19F6-4407-A435-D66CABB8DFA7}" name="Oracle_Data_Type"/>
    <tableColumn id="5" xr3:uid="{8C610284-C4A6-4FEE-A47E-4BFB338A1E66}" name="is_primary_key"/>
    <tableColumn id="6" xr3:uid="{EADABFDF-93EC-4FF2-BB92-472EDFDE90D3}" name="is_foreign_key"/>
    <tableColumn id="7" xr3:uid="{50C6E2E5-3AB1-4548-B2F2-59FB3F109186}" name="references_table"/>
    <tableColumn id="8" xr3:uid="{3340930E-29E1-42A9-A8C8-43BA1B688FFA}" name="references_column">
      <calculatedColumnFormula>A2</calculatedColumnFormula>
    </tableColumn>
    <tableColumn id="9" xr3:uid="{9AE00D16-05AC-41F5-A082-192BE7D0553B}" name="Primary_Key"/>
    <tableColumn id="10" xr3:uid="{5CFB1A6C-6E68-413E-85D2-BFFA980C278A}" name="Table_name"/>
    <tableColumn id="11" xr3:uid="{C08FBA24-A2C9-4C51-98CD-FF44FD2F62F7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workbookViewId="0">
      <selection activeCell="J7" sqref="J7"/>
    </sheetView>
  </sheetViews>
  <sheetFormatPr defaultRowHeight="14.5" x14ac:dyDescent="0.35"/>
  <cols>
    <col min="1" max="1" width="18.36328125" customWidth="1"/>
    <col min="2" max="2" width="30.1796875" bestFit="1" customWidth="1"/>
    <col min="3" max="3" width="29.36328125" customWidth="1"/>
    <col min="4" max="4" width="29" customWidth="1"/>
    <col min="5" max="5" width="25.26953125" customWidth="1"/>
    <col min="6" max="6" width="24.26953125" customWidth="1"/>
    <col min="7" max="7" width="25.1796875" customWidth="1"/>
    <col min="8" max="8" width="26.6328125" customWidth="1"/>
    <col min="9" max="9" width="16.08984375" customWidth="1"/>
    <col min="10" max="10" width="18.81640625" customWidth="1"/>
    <col min="11" max="11" width="26.81640625" customWidth="1"/>
  </cols>
  <sheetData>
    <row r="1" spans="1:11" x14ac:dyDescent="0.35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266</v>
      </c>
      <c r="J1" s="1" t="s">
        <v>265</v>
      </c>
      <c r="K1" s="1" t="s">
        <v>282</v>
      </c>
    </row>
    <row r="2" spans="1:11" x14ac:dyDescent="0.35">
      <c r="A2" t="s">
        <v>0</v>
      </c>
      <c r="B2" t="s">
        <v>110</v>
      </c>
      <c r="C2" t="s">
        <v>216</v>
      </c>
      <c r="D2" t="s">
        <v>236</v>
      </c>
      <c r="E2" t="b">
        <v>0</v>
      </c>
      <c r="F2" t="b">
        <v>1</v>
      </c>
      <c r="G2" t="s">
        <v>258</v>
      </c>
      <c r="H2" t="str">
        <f>A2</f>
        <v>ACT_CODE</v>
      </c>
      <c r="I2" t="s">
        <v>267</v>
      </c>
      <c r="J2" t="s">
        <v>283</v>
      </c>
      <c r="K2" t="s">
        <v>268</v>
      </c>
    </row>
    <row r="3" spans="1:11" x14ac:dyDescent="0.35">
      <c r="A3" t="s">
        <v>1</v>
      </c>
      <c r="B3" t="s">
        <v>111</v>
      </c>
      <c r="C3" t="s">
        <v>217</v>
      </c>
      <c r="D3" t="s">
        <v>237</v>
      </c>
      <c r="E3" t="b">
        <v>0</v>
      </c>
      <c r="F3" t="b">
        <v>1</v>
      </c>
      <c r="G3" t="s">
        <v>259</v>
      </c>
      <c r="H3" t="str">
        <f t="shared" ref="H3:H66" si="0">A3</f>
        <v>ART_CNDC</v>
      </c>
    </row>
    <row r="4" spans="1:11" x14ac:dyDescent="0.35">
      <c r="A4" t="s">
        <v>2</v>
      </c>
      <c r="B4" t="s">
        <v>112</v>
      </c>
      <c r="C4" t="s">
        <v>217</v>
      </c>
      <c r="D4" t="s">
        <v>237</v>
      </c>
      <c r="E4" t="b">
        <v>0</v>
      </c>
      <c r="F4" t="b">
        <v>1</v>
      </c>
      <c r="G4" t="s">
        <v>259</v>
      </c>
      <c r="H4" t="str">
        <f t="shared" si="0"/>
        <v>ART_CNDO</v>
      </c>
    </row>
    <row r="5" spans="1:11" x14ac:dyDescent="0.35">
      <c r="A5" t="s">
        <v>3</v>
      </c>
      <c r="B5" t="s">
        <v>113</v>
      </c>
      <c r="C5" t="s">
        <v>217</v>
      </c>
      <c r="D5" t="s">
        <v>237</v>
      </c>
      <c r="E5" t="b">
        <v>0</v>
      </c>
      <c r="F5" t="b">
        <v>1</v>
      </c>
      <c r="G5" t="s">
        <v>259</v>
      </c>
      <c r="H5" t="str">
        <f t="shared" si="0"/>
        <v>ART_CNDP</v>
      </c>
    </row>
    <row r="6" spans="1:11" x14ac:dyDescent="0.35">
      <c r="A6" t="s">
        <v>4</v>
      </c>
      <c r="B6" t="s">
        <v>114</v>
      </c>
      <c r="C6" t="s">
        <v>217</v>
      </c>
      <c r="D6" t="s">
        <v>237</v>
      </c>
      <c r="E6" t="b">
        <v>0</v>
      </c>
      <c r="F6" t="b">
        <v>1</v>
      </c>
      <c r="G6" t="s">
        <v>259</v>
      </c>
      <c r="H6" t="str">
        <f t="shared" si="0"/>
        <v>ART_CNDS</v>
      </c>
    </row>
    <row r="7" spans="1:11" x14ac:dyDescent="0.35">
      <c r="A7" t="s">
        <v>5</v>
      </c>
      <c r="B7" t="s">
        <v>115</v>
      </c>
      <c r="C7" t="s">
        <v>217</v>
      </c>
      <c r="D7" t="s">
        <v>237</v>
      </c>
      <c r="E7" t="b">
        <v>0</v>
      </c>
      <c r="F7" t="b">
        <v>1</v>
      </c>
      <c r="G7" t="s">
        <v>259</v>
      </c>
      <c r="H7" t="str">
        <f t="shared" si="0"/>
        <v>ART_CNDU</v>
      </c>
    </row>
    <row r="8" spans="1:11" x14ac:dyDescent="0.35">
      <c r="A8" t="s">
        <v>6</v>
      </c>
      <c r="B8" t="s">
        <v>116</v>
      </c>
      <c r="C8" t="s">
        <v>218</v>
      </c>
      <c r="D8" t="s">
        <v>238</v>
      </c>
      <c r="E8" t="b">
        <v>0</v>
      </c>
      <c r="F8" t="b">
        <v>1</v>
      </c>
      <c r="G8" t="s">
        <v>259</v>
      </c>
      <c r="H8" t="str">
        <f t="shared" si="0"/>
        <v>ART_CODE</v>
      </c>
    </row>
    <row r="9" spans="1:11" x14ac:dyDescent="0.35">
      <c r="A9" t="s">
        <v>7</v>
      </c>
      <c r="B9" t="s">
        <v>117</v>
      </c>
      <c r="C9" t="s">
        <v>219</v>
      </c>
      <c r="D9" t="s">
        <v>239</v>
      </c>
      <c r="E9" t="b">
        <v>0</v>
      </c>
      <c r="F9" t="b">
        <v>1</v>
      </c>
      <c r="G9" t="s">
        <v>259</v>
      </c>
      <c r="H9" t="str">
        <f t="shared" si="0"/>
        <v>ART_EANC</v>
      </c>
    </row>
    <row r="10" spans="1:11" x14ac:dyDescent="0.35">
      <c r="A10" t="s">
        <v>8</v>
      </c>
      <c r="B10" t="s">
        <v>117</v>
      </c>
      <c r="C10" t="s">
        <v>219</v>
      </c>
      <c r="D10" t="s">
        <v>239</v>
      </c>
      <c r="E10" t="b">
        <v>0</v>
      </c>
      <c r="F10" t="b">
        <v>1</v>
      </c>
      <c r="G10" t="s">
        <v>259</v>
      </c>
      <c r="H10" t="str">
        <f t="shared" si="0"/>
        <v>ART_EANO</v>
      </c>
    </row>
    <row r="11" spans="1:11" x14ac:dyDescent="0.35">
      <c r="A11" t="s">
        <v>9</v>
      </c>
      <c r="B11" t="s">
        <v>117</v>
      </c>
      <c r="C11" t="s">
        <v>219</v>
      </c>
      <c r="D11" t="s">
        <v>239</v>
      </c>
      <c r="E11" t="b">
        <v>0</v>
      </c>
      <c r="F11" t="b">
        <v>1</v>
      </c>
      <c r="G11" t="s">
        <v>259</v>
      </c>
      <c r="H11" t="str">
        <f t="shared" si="0"/>
        <v>ART_EANP</v>
      </c>
    </row>
    <row r="12" spans="1:11" x14ac:dyDescent="0.35">
      <c r="A12" t="s">
        <v>10</v>
      </c>
      <c r="B12" t="s">
        <v>117</v>
      </c>
      <c r="C12" t="s">
        <v>219</v>
      </c>
      <c r="D12" t="s">
        <v>239</v>
      </c>
      <c r="E12" t="b">
        <v>0</v>
      </c>
      <c r="F12" t="b">
        <v>1</v>
      </c>
      <c r="G12" t="s">
        <v>259</v>
      </c>
      <c r="H12" t="str">
        <f t="shared" si="0"/>
        <v>ART_EANS</v>
      </c>
    </row>
    <row r="13" spans="1:11" x14ac:dyDescent="0.35">
      <c r="A13" t="s">
        <v>11</v>
      </c>
      <c r="B13" t="s">
        <v>117</v>
      </c>
      <c r="C13" t="s">
        <v>219</v>
      </c>
      <c r="D13" t="s">
        <v>239</v>
      </c>
      <c r="E13" t="b">
        <v>0</v>
      </c>
      <c r="F13" t="b">
        <v>1</v>
      </c>
      <c r="G13" t="s">
        <v>259</v>
      </c>
      <c r="H13" t="str">
        <f t="shared" si="0"/>
        <v>ART_EANU</v>
      </c>
    </row>
    <row r="14" spans="1:11" x14ac:dyDescent="0.35">
      <c r="A14" t="s">
        <v>12</v>
      </c>
      <c r="B14" t="s">
        <v>118</v>
      </c>
      <c r="C14" t="s">
        <v>220</v>
      </c>
      <c r="D14" t="s">
        <v>240</v>
      </c>
      <c r="E14" t="b">
        <v>0</v>
      </c>
      <c r="F14" t="b">
        <v>1</v>
      </c>
      <c r="G14" t="s">
        <v>259</v>
      </c>
      <c r="H14" t="str">
        <f t="shared" si="0"/>
        <v>ART_QTEC</v>
      </c>
    </row>
    <row r="15" spans="1:11" x14ac:dyDescent="0.35">
      <c r="A15" t="s">
        <v>13</v>
      </c>
      <c r="B15" t="s">
        <v>119</v>
      </c>
      <c r="C15" t="s">
        <v>221</v>
      </c>
      <c r="D15" t="s">
        <v>241</v>
      </c>
      <c r="E15" t="b">
        <v>0</v>
      </c>
      <c r="F15" t="b">
        <v>1</v>
      </c>
      <c r="G15" t="s">
        <v>259</v>
      </c>
      <c r="H15" t="str">
        <f t="shared" si="0"/>
        <v>ART_QTEO</v>
      </c>
    </row>
    <row r="16" spans="1:11" x14ac:dyDescent="0.35">
      <c r="A16" t="s">
        <v>14</v>
      </c>
      <c r="B16" t="s">
        <v>120</v>
      </c>
      <c r="C16" t="s">
        <v>221</v>
      </c>
      <c r="D16" t="s">
        <v>241</v>
      </c>
      <c r="E16" t="b">
        <v>0</v>
      </c>
      <c r="F16" t="b">
        <v>1</v>
      </c>
      <c r="G16" t="s">
        <v>259</v>
      </c>
      <c r="H16" t="str">
        <f t="shared" si="0"/>
        <v>ART_QTEP</v>
      </c>
    </row>
    <row r="17" spans="1:8" x14ac:dyDescent="0.35">
      <c r="A17" t="s">
        <v>15</v>
      </c>
      <c r="B17" t="s">
        <v>121</v>
      </c>
      <c r="C17" t="s">
        <v>221</v>
      </c>
      <c r="D17" t="s">
        <v>241</v>
      </c>
      <c r="E17" t="b">
        <v>0</v>
      </c>
      <c r="F17" t="b">
        <v>1</v>
      </c>
      <c r="G17" t="s">
        <v>259</v>
      </c>
      <c r="H17" t="str">
        <f t="shared" si="0"/>
        <v>ART_QTES</v>
      </c>
    </row>
    <row r="18" spans="1:8" x14ac:dyDescent="0.35">
      <c r="A18" t="s">
        <v>16</v>
      </c>
      <c r="B18" t="s">
        <v>122</v>
      </c>
      <c r="C18" t="s">
        <v>221</v>
      </c>
      <c r="D18" t="s">
        <v>241</v>
      </c>
      <c r="E18" t="b">
        <v>0</v>
      </c>
      <c r="F18" t="b">
        <v>1</v>
      </c>
      <c r="G18" t="s">
        <v>259</v>
      </c>
      <c r="H18" t="str">
        <f t="shared" si="0"/>
        <v>ART_QTEU</v>
      </c>
    </row>
    <row r="19" spans="1:8" x14ac:dyDescent="0.35">
      <c r="A19" t="s">
        <v>17</v>
      </c>
      <c r="B19" t="s">
        <v>123</v>
      </c>
      <c r="C19" t="s">
        <v>221</v>
      </c>
      <c r="D19" t="s">
        <v>241</v>
      </c>
      <c r="E19" t="b">
        <v>0</v>
      </c>
      <c r="F19" t="b">
        <v>1</v>
      </c>
      <c r="G19" t="s">
        <v>272</v>
      </c>
      <c r="H19" t="str">
        <f t="shared" si="0"/>
        <v>DOS_CODE</v>
      </c>
    </row>
    <row r="20" spans="1:8" x14ac:dyDescent="0.35">
      <c r="A20" t="s">
        <v>18</v>
      </c>
      <c r="B20" t="s">
        <v>124</v>
      </c>
      <c r="C20" t="s">
        <v>216</v>
      </c>
      <c r="D20" t="s">
        <v>236</v>
      </c>
      <c r="E20" t="b">
        <v>0</v>
      </c>
      <c r="F20" t="b">
        <v>1</v>
      </c>
      <c r="G20" t="s">
        <v>273</v>
      </c>
      <c r="H20" t="str">
        <f t="shared" si="0"/>
        <v>GAB_CODE</v>
      </c>
    </row>
    <row r="21" spans="1:8" x14ac:dyDescent="0.35">
      <c r="A21" t="s">
        <v>19</v>
      </c>
      <c r="B21" t="s">
        <v>125</v>
      </c>
      <c r="C21" t="s">
        <v>221</v>
      </c>
      <c r="D21" t="s">
        <v>241</v>
      </c>
      <c r="E21" t="b">
        <v>0</v>
      </c>
      <c r="F21" t="b">
        <v>1</v>
      </c>
      <c r="G21" t="s">
        <v>274</v>
      </c>
      <c r="H21" t="str">
        <f t="shared" si="0"/>
        <v>OFE_NOOE</v>
      </c>
    </row>
    <row r="22" spans="1:8" x14ac:dyDescent="0.35">
      <c r="A22" t="s">
        <v>20</v>
      </c>
      <c r="B22" t="s">
        <v>126</v>
      </c>
      <c r="C22" t="s">
        <v>222</v>
      </c>
      <c r="D22" t="s">
        <v>242</v>
      </c>
      <c r="E22" t="b">
        <v>0</v>
      </c>
      <c r="F22" t="b">
        <v>1</v>
      </c>
      <c r="G22" t="s">
        <v>274</v>
      </c>
      <c r="H22" t="str">
        <f t="shared" si="0"/>
        <v>OFE_REF</v>
      </c>
    </row>
    <row r="23" spans="1:8" x14ac:dyDescent="0.35">
      <c r="A23" t="s">
        <v>21</v>
      </c>
      <c r="B23" t="s">
        <v>127</v>
      </c>
      <c r="C23" t="s">
        <v>223</v>
      </c>
      <c r="D23" t="s">
        <v>241</v>
      </c>
      <c r="E23" t="b">
        <v>0</v>
      </c>
      <c r="F23" t="b">
        <v>1</v>
      </c>
      <c r="G23" t="s">
        <v>275</v>
      </c>
      <c r="H23" t="str">
        <f t="shared" si="0"/>
        <v>OFF_NORL</v>
      </c>
    </row>
    <row r="24" spans="1:8" x14ac:dyDescent="0.35">
      <c r="A24" t="s">
        <v>22</v>
      </c>
      <c r="B24" t="s">
        <v>128</v>
      </c>
      <c r="C24" t="s">
        <v>223</v>
      </c>
      <c r="D24" t="s">
        <v>241</v>
      </c>
      <c r="E24" t="b">
        <v>0</v>
      </c>
      <c r="F24" t="b">
        <v>1</v>
      </c>
      <c r="G24" t="s">
        <v>276</v>
      </c>
      <c r="H24" t="str">
        <f t="shared" si="0"/>
        <v>OFL_NOOL</v>
      </c>
    </row>
    <row r="25" spans="1:8" x14ac:dyDescent="0.35">
      <c r="A25" t="s">
        <v>23</v>
      </c>
      <c r="B25" t="s">
        <v>129</v>
      </c>
      <c r="C25" t="s">
        <v>224</v>
      </c>
      <c r="D25" t="s">
        <v>243</v>
      </c>
      <c r="E25" t="b">
        <v>0</v>
      </c>
      <c r="F25" t="b">
        <v>1</v>
      </c>
      <c r="G25" t="s">
        <v>260</v>
      </c>
      <c r="H25" t="str">
        <f t="shared" si="0"/>
        <v>QUA_CODE</v>
      </c>
    </row>
    <row r="26" spans="1:8" x14ac:dyDescent="0.35">
      <c r="A26" t="s">
        <v>24</v>
      </c>
      <c r="B26" t="s">
        <v>130</v>
      </c>
      <c r="C26" t="s">
        <v>225</v>
      </c>
      <c r="D26" t="s">
        <v>244</v>
      </c>
      <c r="E26" t="b">
        <v>0</v>
      </c>
      <c r="F26" t="b">
        <v>1</v>
      </c>
      <c r="G26" t="s">
        <v>261</v>
      </c>
      <c r="H26" t="str">
        <f t="shared" si="0"/>
        <v>REA_BL</v>
      </c>
    </row>
    <row r="27" spans="1:8" x14ac:dyDescent="0.35">
      <c r="A27" t="s">
        <v>25</v>
      </c>
      <c r="B27" t="s">
        <v>131</v>
      </c>
      <c r="C27" t="s">
        <v>225</v>
      </c>
      <c r="D27" t="s">
        <v>244</v>
      </c>
      <c r="E27" t="b">
        <v>0</v>
      </c>
      <c r="F27" t="b">
        <v>1</v>
      </c>
      <c r="G27" t="s">
        <v>261</v>
      </c>
      <c r="H27" t="str">
        <f t="shared" si="0"/>
        <v>REA_RFCE</v>
      </c>
    </row>
    <row r="28" spans="1:8" x14ac:dyDescent="0.35">
      <c r="A28" t="s">
        <v>26</v>
      </c>
      <c r="B28" t="s">
        <v>132</v>
      </c>
      <c r="C28" t="s">
        <v>222</v>
      </c>
      <c r="D28" t="s">
        <v>242</v>
      </c>
      <c r="E28" t="b">
        <v>0</v>
      </c>
      <c r="F28" t="b">
        <v>1</v>
      </c>
      <c r="G28" t="s">
        <v>261</v>
      </c>
      <c r="H28" t="str">
        <f t="shared" si="0"/>
        <v>REA_RFCL</v>
      </c>
    </row>
    <row r="29" spans="1:8" x14ac:dyDescent="0.35">
      <c r="A29" t="s">
        <v>27</v>
      </c>
      <c r="B29" t="s">
        <v>133</v>
      </c>
      <c r="C29" t="s">
        <v>223</v>
      </c>
      <c r="D29" t="s">
        <v>241</v>
      </c>
      <c r="E29" t="b">
        <v>0</v>
      </c>
      <c r="F29" t="b">
        <v>1</v>
      </c>
      <c r="G29" t="s">
        <v>262</v>
      </c>
      <c r="H29" t="str">
        <f t="shared" si="0"/>
        <v>REL_NORL</v>
      </c>
    </row>
    <row r="30" spans="1:8" x14ac:dyDescent="0.35">
      <c r="A30" t="s">
        <v>28</v>
      </c>
      <c r="B30" t="s">
        <v>134</v>
      </c>
      <c r="C30" t="s">
        <v>226</v>
      </c>
      <c r="D30" t="s">
        <v>245</v>
      </c>
      <c r="E30" t="b">
        <v>0</v>
      </c>
      <c r="F30" t="b">
        <v>1</v>
      </c>
      <c r="G30" t="s">
        <v>263</v>
      </c>
      <c r="H30" t="str">
        <f t="shared" si="0"/>
        <v>RES_COM</v>
      </c>
    </row>
    <row r="31" spans="1:8" x14ac:dyDescent="0.35">
      <c r="A31" t="s">
        <v>29</v>
      </c>
      <c r="B31" t="s">
        <v>135</v>
      </c>
      <c r="C31" t="s">
        <v>227</v>
      </c>
      <c r="D31" t="s">
        <v>246</v>
      </c>
      <c r="E31" t="b">
        <v>0</v>
      </c>
      <c r="F31" t="b">
        <v>1</v>
      </c>
      <c r="G31" t="s">
        <v>263</v>
      </c>
      <c r="H31" t="str">
        <f t="shared" si="0"/>
        <v>RES_CRDA</v>
      </c>
    </row>
    <row r="32" spans="1:8" x14ac:dyDescent="0.35">
      <c r="A32" t="s">
        <v>30</v>
      </c>
      <c r="B32" t="s">
        <v>136</v>
      </c>
      <c r="C32" t="s">
        <v>228</v>
      </c>
      <c r="D32" t="s">
        <v>247</v>
      </c>
      <c r="E32" t="b">
        <v>0</v>
      </c>
      <c r="F32" t="b">
        <v>1</v>
      </c>
      <c r="G32" t="s">
        <v>263</v>
      </c>
      <c r="H32" t="str">
        <f t="shared" si="0"/>
        <v>RES_LIDA</v>
      </c>
    </row>
    <row r="33" spans="1:8" x14ac:dyDescent="0.35">
      <c r="A33" t="s">
        <v>31</v>
      </c>
      <c r="B33" t="s">
        <v>137</v>
      </c>
      <c r="C33" t="s">
        <v>225</v>
      </c>
      <c r="D33" t="s">
        <v>244</v>
      </c>
      <c r="E33" t="b">
        <v>0</v>
      </c>
      <c r="F33" t="b">
        <v>1</v>
      </c>
      <c r="G33" t="s">
        <v>263</v>
      </c>
      <c r="H33" t="str">
        <f t="shared" si="0"/>
        <v>RES_MOTIF</v>
      </c>
    </row>
    <row r="34" spans="1:8" x14ac:dyDescent="0.35">
      <c r="A34" t="s">
        <v>32</v>
      </c>
      <c r="B34" t="s">
        <v>138</v>
      </c>
      <c r="C34" t="s">
        <v>217</v>
      </c>
      <c r="D34" t="s">
        <v>237</v>
      </c>
      <c r="E34" t="b">
        <v>0</v>
      </c>
      <c r="F34" t="b">
        <v>1</v>
      </c>
      <c r="G34" t="s">
        <v>263</v>
      </c>
      <c r="H34" t="str">
        <f t="shared" si="0"/>
        <v>RES_QIRE</v>
      </c>
    </row>
    <row r="35" spans="1:8" x14ac:dyDescent="0.35">
      <c r="A35" t="s">
        <v>33</v>
      </c>
      <c r="B35" t="s">
        <v>139</v>
      </c>
      <c r="C35" t="s">
        <v>224</v>
      </c>
      <c r="D35" t="s">
        <v>243</v>
      </c>
      <c r="E35" t="b">
        <v>0</v>
      </c>
      <c r="F35" t="b">
        <v>1</v>
      </c>
      <c r="G35" t="s">
        <v>277</v>
      </c>
      <c r="H35" t="str">
        <f t="shared" si="0"/>
        <v>SDO_CODE</v>
      </c>
    </row>
    <row r="36" spans="1:8" x14ac:dyDescent="0.35">
      <c r="A36" t="s">
        <v>34</v>
      </c>
      <c r="B36" t="s">
        <v>140</v>
      </c>
      <c r="C36" t="s">
        <v>229</v>
      </c>
      <c r="D36" t="s">
        <v>248</v>
      </c>
      <c r="E36" t="b">
        <v>0</v>
      </c>
      <c r="F36" t="b">
        <v>0</v>
      </c>
      <c r="G36" t="s">
        <v>264</v>
      </c>
      <c r="H36" t="str">
        <f t="shared" si="0"/>
        <v>STK_ALLE</v>
      </c>
    </row>
    <row r="37" spans="1:8" x14ac:dyDescent="0.35">
      <c r="A37" t="s">
        <v>35</v>
      </c>
      <c r="B37" t="s">
        <v>141</v>
      </c>
      <c r="C37" t="s">
        <v>229</v>
      </c>
      <c r="D37" t="s">
        <v>248</v>
      </c>
      <c r="E37" t="b">
        <v>0</v>
      </c>
      <c r="F37" t="b">
        <v>0</v>
      </c>
      <c r="G37" t="s">
        <v>264</v>
      </c>
      <c r="H37" t="str">
        <f t="shared" si="0"/>
        <v>STK_ALLP</v>
      </c>
    </row>
    <row r="38" spans="1:8" x14ac:dyDescent="0.35">
      <c r="A38" t="s">
        <v>36</v>
      </c>
      <c r="B38" t="s">
        <v>142</v>
      </c>
      <c r="C38" t="s">
        <v>225</v>
      </c>
      <c r="D38" t="s">
        <v>244</v>
      </c>
      <c r="E38" t="b">
        <v>0</v>
      </c>
      <c r="F38" t="b">
        <v>0</v>
      </c>
      <c r="G38" t="s">
        <v>264</v>
      </c>
      <c r="H38" t="str">
        <f t="shared" si="0"/>
        <v>STK_ALPHA1-10</v>
      </c>
    </row>
    <row r="39" spans="1:8" x14ac:dyDescent="0.35">
      <c r="A39" t="s">
        <v>37</v>
      </c>
      <c r="B39" t="s">
        <v>143</v>
      </c>
      <c r="C39" t="s">
        <v>229</v>
      </c>
      <c r="D39" t="s">
        <v>248</v>
      </c>
      <c r="E39" t="b">
        <v>0</v>
      </c>
      <c r="F39" t="b">
        <v>0</v>
      </c>
      <c r="G39" t="s">
        <v>264</v>
      </c>
      <c r="H39" t="str">
        <f t="shared" si="0"/>
        <v>STK_CASE</v>
      </c>
    </row>
    <row r="40" spans="1:8" x14ac:dyDescent="0.35">
      <c r="A40" t="s">
        <v>38</v>
      </c>
      <c r="B40" t="s">
        <v>144</v>
      </c>
      <c r="C40" t="s">
        <v>229</v>
      </c>
      <c r="D40" t="s">
        <v>248</v>
      </c>
      <c r="E40" t="b">
        <v>0</v>
      </c>
      <c r="F40" t="b">
        <v>0</v>
      </c>
      <c r="G40" t="s">
        <v>264</v>
      </c>
      <c r="H40" t="str">
        <f t="shared" si="0"/>
        <v>STK_CASP</v>
      </c>
    </row>
    <row r="41" spans="1:8" x14ac:dyDescent="0.35">
      <c r="A41" t="s">
        <v>39</v>
      </c>
      <c r="B41" t="s">
        <v>145</v>
      </c>
      <c r="C41" t="s">
        <v>224</v>
      </c>
      <c r="D41" t="s">
        <v>243</v>
      </c>
      <c r="E41" t="b">
        <v>0</v>
      </c>
      <c r="F41" t="b">
        <v>0</v>
      </c>
      <c r="G41" t="s">
        <v>264</v>
      </c>
      <c r="H41" t="str">
        <f t="shared" si="0"/>
        <v>STK_CFIS</v>
      </c>
    </row>
    <row r="42" spans="1:8" x14ac:dyDescent="0.35">
      <c r="A42" t="s">
        <v>40</v>
      </c>
      <c r="B42" t="s">
        <v>146</v>
      </c>
      <c r="C42" t="s">
        <v>230</v>
      </c>
      <c r="D42" t="s">
        <v>249</v>
      </c>
      <c r="E42" t="b">
        <v>0</v>
      </c>
      <c r="F42" t="b">
        <v>0</v>
      </c>
      <c r="G42" t="s">
        <v>264</v>
      </c>
      <c r="H42" t="str">
        <f t="shared" si="0"/>
        <v>STK_CLAS</v>
      </c>
    </row>
    <row r="43" spans="1:8" x14ac:dyDescent="0.35">
      <c r="A43" t="s">
        <v>41</v>
      </c>
      <c r="B43" t="s">
        <v>147</v>
      </c>
      <c r="C43" t="s">
        <v>229</v>
      </c>
      <c r="D43" t="s">
        <v>248</v>
      </c>
      <c r="E43" t="b">
        <v>0</v>
      </c>
      <c r="F43" t="b">
        <v>0</v>
      </c>
      <c r="G43" t="s">
        <v>264</v>
      </c>
      <c r="H43" t="str">
        <f t="shared" si="0"/>
        <v>STK_COL</v>
      </c>
    </row>
    <row r="44" spans="1:8" x14ac:dyDescent="0.35">
      <c r="A44" t="s">
        <v>42</v>
      </c>
      <c r="B44" t="s">
        <v>148</v>
      </c>
      <c r="C44" t="s">
        <v>229</v>
      </c>
      <c r="D44" t="s">
        <v>248</v>
      </c>
      <c r="E44" t="b">
        <v>0</v>
      </c>
      <c r="F44" t="b">
        <v>0</v>
      </c>
      <c r="G44" t="s">
        <v>264</v>
      </c>
      <c r="H44" t="str">
        <f t="shared" si="0"/>
        <v>STK_COLP</v>
      </c>
    </row>
    <row r="45" spans="1:8" x14ac:dyDescent="0.35">
      <c r="A45" t="s">
        <v>43</v>
      </c>
      <c r="B45" t="s">
        <v>149</v>
      </c>
      <c r="C45" t="s">
        <v>226</v>
      </c>
      <c r="D45" t="s">
        <v>245</v>
      </c>
      <c r="E45" t="b">
        <v>0</v>
      </c>
      <c r="F45" t="b">
        <v>0</v>
      </c>
      <c r="G45" t="s">
        <v>264</v>
      </c>
      <c r="H45" t="str">
        <f t="shared" si="0"/>
        <v>STK_COM</v>
      </c>
    </row>
    <row r="46" spans="1:8" x14ac:dyDescent="0.35">
      <c r="A46" t="s">
        <v>44</v>
      </c>
      <c r="B46" t="s">
        <v>150</v>
      </c>
      <c r="C46" t="s">
        <v>231</v>
      </c>
      <c r="D46" t="s">
        <v>250</v>
      </c>
      <c r="E46" t="b">
        <v>0</v>
      </c>
      <c r="F46" t="b">
        <v>0</v>
      </c>
      <c r="G46" t="s">
        <v>264</v>
      </c>
      <c r="H46" t="str">
        <f t="shared" si="0"/>
        <v>STK_CRDA</v>
      </c>
    </row>
    <row r="47" spans="1:8" x14ac:dyDescent="0.35">
      <c r="A47" t="s">
        <v>45</v>
      </c>
      <c r="B47" t="s">
        <v>151</v>
      </c>
      <c r="C47" t="s">
        <v>232</v>
      </c>
      <c r="D47" t="s">
        <v>251</v>
      </c>
      <c r="E47" t="b">
        <v>0</v>
      </c>
      <c r="F47" t="b">
        <v>0</v>
      </c>
      <c r="G47" t="s">
        <v>264</v>
      </c>
      <c r="H47" t="str">
        <f t="shared" si="0"/>
        <v>STK_CRHE</v>
      </c>
    </row>
    <row r="48" spans="1:8" x14ac:dyDescent="0.35">
      <c r="A48" t="s">
        <v>46</v>
      </c>
      <c r="B48" t="s">
        <v>152</v>
      </c>
      <c r="C48" t="s">
        <v>217</v>
      </c>
      <c r="D48" t="s">
        <v>237</v>
      </c>
      <c r="E48" t="b">
        <v>0</v>
      </c>
      <c r="F48" t="b">
        <v>0</v>
      </c>
      <c r="G48" t="s">
        <v>264</v>
      </c>
      <c r="H48" t="str">
        <f t="shared" si="0"/>
        <v>STK_CRQI</v>
      </c>
    </row>
    <row r="49" spans="1:8" x14ac:dyDescent="0.35">
      <c r="A49" t="s">
        <v>47</v>
      </c>
      <c r="B49" t="s">
        <v>153</v>
      </c>
      <c r="C49" t="s">
        <v>218</v>
      </c>
      <c r="D49" t="s">
        <v>238</v>
      </c>
      <c r="E49" t="b">
        <v>0</v>
      </c>
      <c r="F49" t="b">
        <v>0</v>
      </c>
      <c r="G49" t="s">
        <v>264</v>
      </c>
      <c r="H49" t="str">
        <f t="shared" si="0"/>
        <v>STK_CTIE</v>
      </c>
    </row>
    <row r="50" spans="1:8" x14ac:dyDescent="0.35">
      <c r="A50" t="s">
        <v>48</v>
      </c>
      <c r="B50" t="s">
        <v>154</v>
      </c>
      <c r="C50" t="s">
        <v>231</v>
      </c>
      <c r="D50" t="s">
        <v>250</v>
      </c>
      <c r="E50" t="b">
        <v>0</v>
      </c>
      <c r="F50" t="b">
        <v>0</v>
      </c>
      <c r="G50" t="s">
        <v>264</v>
      </c>
      <c r="H50" t="str">
        <f t="shared" si="0"/>
        <v>STK_DAEN</v>
      </c>
    </row>
    <row r="51" spans="1:8" x14ac:dyDescent="0.35">
      <c r="A51" t="s">
        <v>49</v>
      </c>
      <c r="B51" t="s">
        <v>155</v>
      </c>
      <c r="C51" t="s">
        <v>231</v>
      </c>
      <c r="D51" t="s">
        <v>250</v>
      </c>
      <c r="E51" t="b">
        <v>0</v>
      </c>
      <c r="F51" t="b">
        <v>0</v>
      </c>
      <c r="G51" t="s">
        <v>264</v>
      </c>
      <c r="H51" t="str">
        <f t="shared" si="0"/>
        <v>STK_DAEP</v>
      </c>
    </row>
    <row r="52" spans="1:8" x14ac:dyDescent="0.35">
      <c r="A52" t="s">
        <v>50</v>
      </c>
      <c r="B52" t="s">
        <v>156</v>
      </c>
      <c r="C52" t="s">
        <v>231</v>
      </c>
      <c r="D52" t="s">
        <v>250</v>
      </c>
      <c r="E52" t="b">
        <v>0</v>
      </c>
      <c r="F52" t="b">
        <v>0</v>
      </c>
      <c r="G52" t="s">
        <v>264</v>
      </c>
      <c r="H52" t="str">
        <f t="shared" si="0"/>
        <v>STK_DAIV</v>
      </c>
    </row>
    <row r="53" spans="1:8" x14ac:dyDescent="0.35">
      <c r="A53" t="s">
        <v>51</v>
      </c>
      <c r="B53" t="s">
        <v>157</v>
      </c>
      <c r="C53" t="s">
        <v>231</v>
      </c>
      <c r="D53" t="s">
        <v>250</v>
      </c>
      <c r="E53" t="b">
        <v>0</v>
      </c>
      <c r="F53" t="b">
        <v>0</v>
      </c>
      <c r="G53" t="s">
        <v>264</v>
      </c>
      <c r="H53" t="str">
        <f t="shared" si="0"/>
        <v>STK_DARG</v>
      </c>
    </row>
    <row r="54" spans="1:8" x14ac:dyDescent="0.35">
      <c r="A54" t="s">
        <v>52</v>
      </c>
      <c r="B54" t="s">
        <v>158</v>
      </c>
      <c r="C54" t="s">
        <v>231</v>
      </c>
      <c r="D54" t="s">
        <v>250</v>
      </c>
      <c r="E54" t="b">
        <v>0</v>
      </c>
      <c r="F54" t="b">
        <v>0</v>
      </c>
      <c r="G54" t="s">
        <v>264</v>
      </c>
      <c r="H54" t="str">
        <f t="shared" si="0"/>
        <v>STK_DARS</v>
      </c>
    </row>
    <row r="55" spans="1:8" x14ac:dyDescent="0.35">
      <c r="A55" t="s">
        <v>53</v>
      </c>
      <c r="B55" t="s">
        <v>159</v>
      </c>
      <c r="C55" t="s">
        <v>231</v>
      </c>
      <c r="D55" t="s">
        <v>250</v>
      </c>
      <c r="E55" t="b">
        <v>0</v>
      </c>
      <c r="F55" t="b">
        <v>0</v>
      </c>
      <c r="G55" t="s">
        <v>264</v>
      </c>
      <c r="H55" t="str">
        <f t="shared" si="0"/>
        <v>STK_DASO</v>
      </c>
    </row>
    <row r="56" spans="1:8" x14ac:dyDescent="0.35">
      <c r="A56" t="s">
        <v>54</v>
      </c>
      <c r="B56" t="s">
        <v>160</v>
      </c>
      <c r="C56" t="s">
        <v>231</v>
      </c>
      <c r="D56" t="s">
        <v>250</v>
      </c>
      <c r="E56" t="b">
        <v>0</v>
      </c>
      <c r="F56" t="b">
        <v>0</v>
      </c>
      <c r="G56" t="s">
        <v>264</v>
      </c>
      <c r="H56" t="str">
        <f t="shared" si="0"/>
        <v>STK_DATE1-5</v>
      </c>
    </row>
    <row r="57" spans="1:8" x14ac:dyDescent="0.35">
      <c r="A57" t="s">
        <v>55</v>
      </c>
      <c r="B57" t="s">
        <v>161</v>
      </c>
      <c r="C57" t="s">
        <v>231</v>
      </c>
      <c r="D57" t="s">
        <v>250</v>
      </c>
      <c r="E57" t="b">
        <v>0</v>
      </c>
      <c r="F57" t="b">
        <v>0</v>
      </c>
      <c r="G57" t="s">
        <v>264</v>
      </c>
      <c r="H57" t="str">
        <f t="shared" si="0"/>
        <v>STK_DFAB</v>
      </c>
    </row>
    <row r="58" spans="1:8" x14ac:dyDescent="0.35">
      <c r="A58" t="s">
        <v>56</v>
      </c>
      <c r="B58" t="s">
        <v>162</v>
      </c>
      <c r="C58" t="s">
        <v>231</v>
      </c>
      <c r="D58" t="s">
        <v>250</v>
      </c>
      <c r="E58" t="b">
        <v>0</v>
      </c>
      <c r="F58" t="b">
        <v>0</v>
      </c>
      <c r="G58" t="s">
        <v>264</v>
      </c>
      <c r="H58" t="str">
        <f t="shared" si="0"/>
        <v>STK_DLC</v>
      </c>
    </row>
    <row r="59" spans="1:8" x14ac:dyDescent="0.35">
      <c r="A59" t="s">
        <v>57</v>
      </c>
      <c r="B59" t="s">
        <v>163</v>
      </c>
      <c r="C59" t="s">
        <v>231</v>
      </c>
      <c r="D59" t="s">
        <v>250</v>
      </c>
      <c r="E59" t="b">
        <v>0</v>
      </c>
      <c r="F59" t="b">
        <v>0</v>
      </c>
      <c r="G59" t="s">
        <v>264</v>
      </c>
      <c r="H59" t="str">
        <f t="shared" si="0"/>
        <v>STK_DLUO</v>
      </c>
    </row>
    <row r="60" spans="1:8" x14ac:dyDescent="0.35">
      <c r="A60" t="s">
        <v>58</v>
      </c>
      <c r="B60" t="s">
        <v>164</v>
      </c>
      <c r="C60" t="s">
        <v>231</v>
      </c>
      <c r="D60" t="s">
        <v>250</v>
      </c>
      <c r="E60" t="b">
        <v>0</v>
      </c>
      <c r="F60" t="b">
        <v>0</v>
      </c>
      <c r="G60" t="s">
        <v>264</v>
      </c>
      <c r="H60" t="str">
        <f t="shared" si="0"/>
        <v>STK_DLV</v>
      </c>
    </row>
    <row r="61" spans="1:8" x14ac:dyDescent="0.35">
      <c r="A61" t="s">
        <v>59</v>
      </c>
      <c r="B61" t="s">
        <v>165</v>
      </c>
      <c r="C61" t="s">
        <v>232</v>
      </c>
      <c r="D61" t="s">
        <v>251</v>
      </c>
      <c r="E61" t="b">
        <v>0</v>
      </c>
      <c r="F61" t="b">
        <v>0</v>
      </c>
      <c r="G61" t="s">
        <v>264</v>
      </c>
      <c r="H61" t="str">
        <f t="shared" si="0"/>
        <v>STK_HEEP</v>
      </c>
    </row>
    <row r="62" spans="1:8" x14ac:dyDescent="0.35">
      <c r="A62" t="s">
        <v>60</v>
      </c>
      <c r="B62" t="s">
        <v>166</v>
      </c>
      <c r="C62" t="s">
        <v>232</v>
      </c>
      <c r="D62" t="s">
        <v>251</v>
      </c>
      <c r="E62" t="b">
        <v>0</v>
      </c>
      <c r="F62" t="b">
        <v>0</v>
      </c>
      <c r="G62" t="s">
        <v>264</v>
      </c>
      <c r="H62" t="str">
        <f t="shared" si="0"/>
        <v>STK_HEIV</v>
      </c>
    </row>
    <row r="63" spans="1:8" x14ac:dyDescent="0.35">
      <c r="A63" t="s">
        <v>61</v>
      </c>
      <c r="B63" t="s">
        <v>167</v>
      </c>
      <c r="C63" t="s">
        <v>232</v>
      </c>
      <c r="D63" t="s">
        <v>251</v>
      </c>
      <c r="E63" t="b">
        <v>0</v>
      </c>
      <c r="F63" t="b">
        <v>0</v>
      </c>
      <c r="G63" t="s">
        <v>264</v>
      </c>
      <c r="H63" t="str">
        <f t="shared" si="0"/>
        <v>STK_HERG</v>
      </c>
    </row>
    <row r="64" spans="1:8" x14ac:dyDescent="0.35">
      <c r="A64" t="s">
        <v>62</v>
      </c>
      <c r="B64" t="s">
        <v>168</v>
      </c>
      <c r="C64" t="s">
        <v>225</v>
      </c>
      <c r="D64" t="s">
        <v>244</v>
      </c>
      <c r="E64" t="b">
        <v>0</v>
      </c>
      <c r="F64" t="b">
        <v>0</v>
      </c>
      <c r="G64" t="s">
        <v>264</v>
      </c>
      <c r="H64" t="str">
        <f t="shared" si="0"/>
        <v>STK_HERS</v>
      </c>
    </row>
    <row r="65" spans="1:8" x14ac:dyDescent="0.35">
      <c r="A65" t="s">
        <v>63</v>
      </c>
      <c r="B65" t="s">
        <v>169</v>
      </c>
      <c r="C65" t="s">
        <v>232</v>
      </c>
      <c r="D65" t="s">
        <v>251</v>
      </c>
      <c r="E65" t="b">
        <v>0</v>
      </c>
      <c r="F65" t="b">
        <v>0</v>
      </c>
      <c r="G65" t="s">
        <v>264</v>
      </c>
      <c r="H65" t="str">
        <f t="shared" si="0"/>
        <v>STK_HEURE1-5</v>
      </c>
    </row>
    <row r="66" spans="1:8" x14ac:dyDescent="0.35">
      <c r="A66" t="s">
        <v>64</v>
      </c>
      <c r="B66" t="s">
        <v>170</v>
      </c>
      <c r="C66" t="s">
        <v>222</v>
      </c>
      <c r="D66" t="s">
        <v>242</v>
      </c>
      <c r="E66" t="b">
        <v>0</v>
      </c>
      <c r="F66" t="b">
        <v>0</v>
      </c>
      <c r="G66" t="s">
        <v>264</v>
      </c>
      <c r="H66" t="str">
        <f t="shared" si="0"/>
        <v>STK_INPC</v>
      </c>
    </row>
    <row r="67" spans="1:8" x14ac:dyDescent="0.35">
      <c r="A67" t="s">
        <v>65</v>
      </c>
      <c r="B67" t="s">
        <v>171</v>
      </c>
      <c r="C67" t="s">
        <v>221</v>
      </c>
      <c r="D67" t="s">
        <v>241</v>
      </c>
      <c r="E67" t="b">
        <v>1</v>
      </c>
      <c r="F67" t="b">
        <v>0</v>
      </c>
      <c r="G67" t="s">
        <v>264</v>
      </c>
      <c r="H67" t="str">
        <f t="shared" ref="H67:H111" si="1">A67</f>
        <v>STK_KEYU</v>
      </c>
    </row>
    <row r="68" spans="1:8" x14ac:dyDescent="0.35">
      <c r="A68" t="s">
        <v>66</v>
      </c>
      <c r="B68" t="s">
        <v>172</v>
      </c>
      <c r="C68" t="s">
        <v>220</v>
      </c>
      <c r="D68" t="s">
        <v>240</v>
      </c>
      <c r="E68" t="b">
        <v>0</v>
      </c>
      <c r="F68" t="b">
        <v>0</v>
      </c>
      <c r="G68" t="s">
        <v>264</v>
      </c>
      <c r="H68" t="str">
        <f t="shared" si="1"/>
        <v>STK_LIEP</v>
      </c>
    </row>
    <row r="69" spans="1:8" x14ac:dyDescent="0.35">
      <c r="A69" t="s">
        <v>67</v>
      </c>
      <c r="B69" t="s">
        <v>173</v>
      </c>
      <c r="C69" t="s">
        <v>220</v>
      </c>
      <c r="D69" t="s">
        <v>240</v>
      </c>
      <c r="E69" t="b">
        <v>0</v>
      </c>
      <c r="F69" t="b">
        <v>0</v>
      </c>
      <c r="G69" t="s">
        <v>264</v>
      </c>
      <c r="H69" t="str">
        <f t="shared" si="1"/>
        <v>STK_LIEU</v>
      </c>
    </row>
    <row r="70" spans="1:8" x14ac:dyDescent="0.35">
      <c r="A70" t="s">
        <v>68</v>
      </c>
      <c r="B70" t="s">
        <v>174</v>
      </c>
      <c r="C70" t="s">
        <v>233</v>
      </c>
      <c r="D70" t="s">
        <v>252</v>
      </c>
      <c r="E70" t="b">
        <v>0</v>
      </c>
      <c r="F70" t="b">
        <v>0</v>
      </c>
      <c r="G70" t="s">
        <v>264</v>
      </c>
      <c r="H70" t="str">
        <f t="shared" si="1"/>
        <v>STK_LOT1-3</v>
      </c>
    </row>
    <row r="71" spans="1:8" x14ac:dyDescent="0.35">
      <c r="A71" t="s">
        <v>69</v>
      </c>
      <c r="B71" t="s">
        <v>175</v>
      </c>
      <c r="C71" t="s">
        <v>231</v>
      </c>
      <c r="D71" t="s">
        <v>250</v>
      </c>
      <c r="E71" t="b">
        <v>0</v>
      </c>
      <c r="F71" t="b">
        <v>0</v>
      </c>
      <c r="G71" t="s">
        <v>264</v>
      </c>
      <c r="H71" t="str">
        <f t="shared" si="1"/>
        <v>STK_MODA</v>
      </c>
    </row>
    <row r="72" spans="1:8" x14ac:dyDescent="0.35">
      <c r="A72" t="s">
        <v>70</v>
      </c>
      <c r="B72" t="s">
        <v>176</v>
      </c>
      <c r="C72" t="s">
        <v>232</v>
      </c>
      <c r="D72" t="s">
        <v>251</v>
      </c>
      <c r="E72" t="b">
        <v>0</v>
      </c>
      <c r="F72" t="b">
        <v>0</v>
      </c>
      <c r="G72" t="s">
        <v>264</v>
      </c>
      <c r="H72" t="str">
        <f t="shared" si="1"/>
        <v>STK_MOHE</v>
      </c>
    </row>
    <row r="73" spans="1:8" x14ac:dyDescent="0.35">
      <c r="A73" t="s">
        <v>71</v>
      </c>
      <c r="B73" t="s">
        <v>177</v>
      </c>
      <c r="C73" t="s">
        <v>217</v>
      </c>
      <c r="D73" t="s">
        <v>237</v>
      </c>
      <c r="E73" t="b">
        <v>0</v>
      </c>
      <c r="F73" t="b">
        <v>0</v>
      </c>
      <c r="G73" t="s">
        <v>264</v>
      </c>
      <c r="H73" t="str">
        <f t="shared" si="1"/>
        <v>STK_MOQI</v>
      </c>
    </row>
    <row r="74" spans="1:8" x14ac:dyDescent="0.35">
      <c r="A74" t="s">
        <v>72</v>
      </c>
      <c r="B74" t="s">
        <v>178</v>
      </c>
      <c r="C74" t="s">
        <v>229</v>
      </c>
      <c r="D74" t="s">
        <v>248</v>
      </c>
      <c r="E74" t="b">
        <v>0</v>
      </c>
      <c r="F74" t="b">
        <v>0</v>
      </c>
      <c r="G74" t="s">
        <v>264</v>
      </c>
      <c r="H74" t="str">
        <f t="shared" si="1"/>
        <v>STK_NIV</v>
      </c>
    </row>
    <row r="75" spans="1:8" x14ac:dyDescent="0.35">
      <c r="A75" t="s">
        <v>73</v>
      </c>
      <c r="B75" t="s">
        <v>179</v>
      </c>
      <c r="C75" t="s">
        <v>229</v>
      </c>
      <c r="D75" t="s">
        <v>248</v>
      </c>
      <c r="E75" t="b">
        <v>0</v>
      </c>
      <c r="F75" t="b">
        <v>0</v>
      </c>
      <c r="G75" t="s">
        <v>264</v>
      </c>
      <c r="H75" t="str">
        <f t="shared" si="1"/>
        <v>STK_NIVP</v>
      </c>
    </row>
    <row r="76" spans="1:8" x14ac:dyDescent="0.35">
      <c r="A76" t="s">
        <v>74</v>
      </c>
      <c r="B76" t="s">
        <v>180</v>
      </c>
      <c r="C76" t="s">
        <v>223</v>
      </c>
      <c r="D76" t="s">
        <v>241</v>
      </c>
      <c r="E76" t="b">
        <v>0</v>
      </c>
      <c r="F76" t="b">
        <v>0</v>
      </c>
      <c r="G76" t="s">
        <v>264</v>
      </c>
      <c r="H76" t="str">
        <f t="shared" si="1"/>
        <v>STK_NOER</v>
      </c>
    </row>
    <row r="77" spans="1:8" x14ac:dyDescent="0.35">
      <c r="A77" t="s">
        <v>75</v>
      </c>
      <c r="B77" t="s">
        <v>181</v>
      </c>
      <c r="C77" t="s">
        <v>223</v>
      </c>
      <c r="D77" t="s">
        <v>241</v>
      </c>
      <c r="E77" t="b">
        <v>0</v>
      </c>
      <c r="F77" t="b">
        <v>0</v>
      </c>
      <c r="G77" t="s">
        <v>264</v>
      </c>
      <c r="H77" t="str">
        <f t="shared" si="1"/>
        <v>STK_NOLR</v>
      </c>
    </row>
    <row r="78" spans="1:8" x14ac:dyDescent="0.35">
      <c r="A78" t="s">
        <v>76</v>
      </c>
      <c r="B78" t="s">
        <v>182</v>
      </c>
      <c r="C78" t="s">
        <v>223</v>
      </c>
      <c r="D78" t="s">
        <v>241</v>
      </c>
      <c r="E78" t="b">
        <v>0</v>
      </c>
      <c r="F78" t="b">
        <v>1</v>
      </c>
      <c r="G78" t="s">
        <v>269</v>
      </c>
      <c r="H78" t="s">
        <v>270</v>
      </c>
    </row>
    <row r="79" spans="1:8" x14ac:dyDescent="0.35">
      <c r="A79" t="s">
        <v>77</v>
      </c>
      <c r="B79" t="s">
        <v>183</v>
      </c>
      <c r="C79" t="s">
        <v>223</v>
      </c>
      <c r="D79" t="s">
        <v>241</v>
      </c>
      <c r="E79" t="b">
        <v>0</v>
      </c>
      <c r="F79" t="b">
        <v>0</v>
      </c>
      <c r="G79" t="s">
        <v>264</v>
      </c>
      <c r="H79" t="str">
        <f t="shared" si="1"/>
        <v>STK_NORG</v>
      </c>
    </row>
    <row r="80" spans="1:8" x14ac:dyDescent="0.35">
      <c r="A80" t="s">
        <v>78</v>
      </c>
      <c r="B80" t="s">
        <v>184</v>
      </c>
      <c r="C80" t="s">
        <v>220</v>
      </c>
      <c r="D80" t="s">
        <v>240</v>
      </c>
      <c r="E80" t="b">
        <v>0</v>
      </c>
      <c r="F80" t="b">
        <v>0</v>
      </c>
      <c r="G80" t="s">
        <v>264</v>
      </c>
      <c r="H80" t="str">
        <f t="shared" si="1"/>
        <v>STK_NOSU</v>
      </c>
    </row>
    <row r="81" spans="1:8" x14ac:dyDescent="0.35">
      <c r="A81" t="s">
        <v>79</v>
      </c>
      <c r="B81" t="s">
        <v>185</v>
      </c>
      <c r="C81" t="s">
        <v>234</v>
      </c>
      <c r="D81" t="s">
        <v>234</v>
      </c>
      <c r="E81" t="b">
        <v>0</v>
      </c>
      <c r="F81" t="b">
        <v>0</v>
      </c>
      <c r="G81" t="s">
        <v>264</v>
      </c>
      <c r="H81" t="str">
        <f t="shared" si="1"/>
        <v>STK_NUM1-5</v>
      </c>
    </row>
    <row r="82" spans="1:8" x14ac:dyDescent="0.35">
      <c r="A82" t="s">
        <v>80</v>
      </c>
      <c r="B82" t="s">
        <v>186</v>
      </c>
      <c r="C82" t="s">
        <v>223</v>
      </c>
      <c r="D82" t="s">
        <v>241</v>
      </c>
      <c r="E82" t="b">
        <v>0</v>
      </c>
      <c r="F82" t="b">
        <v>0</v>
      </c>
      <c r="G82" t="s">
        <v>264</v>
      </c>
      <c r="H82" t="str">
        <f t="shared" si="1"/>
        <v>STK_PDSE</v>
      </c>
    </row>
    <row r="83" spans="1:8" x14ac:dyDescent="0.35">
      <c r="A83" t="s">
        <v>81</v>
      </c>
      <c r="B83" t="s">
        <v>187</v>
      </c>
      <c r="C83" t="s">
        <v>221</v>
      </c>
      <c r="D83" t="s">
        <v>241</v>
      </c>
      <c r="E83" t="b">
        <v>0</v>
      </c>
      <c r="F83" t="b">
        <v>0</v>
      </c>
      <c r="G83" t="s">
        <v>264</v>
      </c>
      <c r="H83" t="str">
        <f t="shared" si="1"/>
        <v>STK_POIBC</v>
      </c>
    </row>
    <row r="84" spans="1:8" x14ac:dyDescent="0.35">
      <c r="A84" t="s">
        <v>82</v>
      </c>
      <c r="B84" t="s">
        <v>188</v>
      </c>
      <c r="C84" t="s">
        <v>221</v>
      </c>
      <c r="D84" t="s">
        <v>241</v>
      </c>
      <c r="E84" t="b">
        <v>0</v>
      </c>
      <c r="F84" t="b">
        <v>0</v>
      </c>
      <c r="G84" t="s">
        <v>264</v>
      </c>
      <c r="H84" t="str">
        <f t="shared" si="1"/>
        <v>STK_POIBO</v>
      </c>
    </row>
    <row r="85" spans="1:8" x14ac:dyDescent="0.35">
      <c r="A85" t="s">
        <v>83</v>
      </c>
      <c r="B85" t="s">
        <v>189</v>
      </c>
      <c r="C85" t="s">
        <v>221</v>
      </c>
      <c r="D85" t="s">
        <v>241</v>
      </c>
      <c r="E85" t="b">
        <v>0</v>
      </c>
      <c r="F85" t="b">
        <v>0</v>
      </c>
      <c r="G85" t="s">
        <v>264</v>
      </c>
      <c r="H85" t="str">
        <f t="shared" si="1"/>
        <v>STK_POIBP</v>
      </c>
    </row>
    <row r="86" spans="1:8" x14ac:dyDescent="0.35">
      <c r="A86" t="s">
        <v>84</v>
      </c>
      <c r="B86" t="s">
        <v>190</v>
      </c>
      <c r="C86" t="s">
        <v>221</v>
      </c>
      <c r="D86" t="s">
        <v>241</v>
      </c>
      <c r="E86" t="b">
        <v>0</v>
      </c>
      <c r="F86" t="b">
        <v>0</v>
      </c>
      <c r="G86" t="s">
        <v>264</v>
      </c>
      <c r="H86" t="str">
        <f t="shared" si="1"/>
        <v>STK_POIBS</v>
      </c>
    </row>
    <row r="87" spans="1:8" x14ac:dyDescent="0.35">
      <c r="A87" t="s">
        <v>85</v>
      </c>
      <c r="B87" t="s">
        <v>191</v>
      </c>
      <c r="C87" t="s">
        <v>221</v>
      </c>
      <c r="D87" t="s">
        <v>241</v>
      </c>
      <c r="E87" t="b">
        <v>0</v>
      </c>
      <c r="F87" t="b">
        <v>0</v>
      </c>
      <c r="G87" t="s">
        <v>264</v>
      </c>
      <c r="H87" t="str">
        <f t="shared" si="1"/>
        <v>STK_POIBU</v>
      </c>
    </row>
    <row r="88" spans="1:8" x14ac:dyDescent="0.35">
      <c r="A88" t="s">
        <v>86</v>
      </c>
      <c r="B88" t="s">
        <v>192</v>
      </c>
      <c r="C88" t="s">
        <v>229</v>
      </c>
      <c r="D88" t="s">
        <v>248</v>
      </c>
      <c r="E88" t="b">
        <v>0</v>
      </c>
      <c r="F88" t="b">
        <v>0</v>
      </c>
      <c r="G88" t="s">
        <v>264</v>
      </c>
      <c r="H88" t="str">
        <f t="shared" si="1"/>
        <v>STK_POISI</v>
      </c>
    </row>
    <row r="89" spans="1:8" x14ac:dyDescent="0.35">
      <c r="A89" t="s">
        <v>87</v>
      </c>
      <c r="B89" t="s">
        <v>193</v>
      </c>
      <c r="C89" t="s">
        <v>221</v>
      </c>
      <c r="D89" t="s">
        <v>241</v>
      </c>
      <c r="E89" t="b">
        <v>0</v>
      </c>
      <c r="F89" t="b">
        <v>0</v>
      </c>
      <c r="G89" t="s">
        <v>264</v>
      </c>
      <c r="H89" t="str">
        <f t="shared" si="1"/>
        <v>STK_POITL</v>
      </c>
    </row>
    <row r="90" spans="1:8" x14ac:dyDescent="0.35">
      <c r="A90" t="s">
        <v>88</v>
      </c>
      <c r="B90" t="s">
        <v>194</v>
      </c>
      <c r="C90" t="s">
        <v>221</v>
      </c>
      <c r="D90" t="s">
        <v>241</v>
      </c>
      <c r="E90" t="b">
        <v>0</v>
      </c>
      <c r="F90" t="b">
        <v>0</v>
      </c>
      <c r="G90" t="s">
        <v>264</v>
      </c>
      <c r="H90" t="str">
        <f t="shared" si="1"/>
        <v>STK_POITN</v>
      </c>
    </row>
    <row r="91" spans="1:8" x14ac:dyDescent="0.35">
      <c r="A91" t="s">
        <v>89</v>
      </c>
      <c r="B91" t="s">
        <v>195</v>
      </c>
      <c r="C91" t="s">
        <v>221</v>
      </c>
      <c r="D91" t="s">
        <v>241</v>
      </c>
      <c r="E91" t="b">
        <v>0</v>
      </c>
      <c r="F91" t="b">
        <v>0</v>
      </c>
      <c r="G91" t="s">
        <v>264</v>
      </c>
      <c r="H91" t="str">
        <f t="shared" si="1"/>
        <v>STK_POIV</v>
      </c>
    </row>
    <row r="92" spans="1:8" x14ac:dyDescent="0.35">
      <c r="A92" t="s">
        <v>90</v>
      </c>
      <c r="B92" t="s">
        <v>196</v>
      </c>
      <c r="C92" t="s">
        <v>229</v>
      </c>
      <c r="D92" t="s">
        <v>248</v>
      </c>
      <c r="E92" t="b">
        <v>0</v>
      </c>
      <c r="F92" t="b">
        <v>0</v>
      </c>
      <c r="G92" t="s">
        <v>264</v>
      </c>
      <c r="H92" t="str">
        <f t="shared" si="1"/>
        <v>STK_POSP</v>
      </c>
    </row>
    <row r="93" spans="1:8" x14ac:dyDescent="0.35">
      <c r="A93" t="s">
        <v>91</v>
      </c>
      <c r="B93" t="s">
        <v>197</v>
      </c>
      <c r="C93" t="s">
        <v>234</v>
      </c>
      <c r="D93" t="s">
        <v>234</v>
      </c>
      <c r="E93" t="b">
        <v>0</v>
      </c>
      <c r="F93" t="b">
        <v>0</v>
      </c>
      <c r="G93" t="s">
        <v>264</v>
      </c>
      <c r="H93" t="str">
        <f t="shared" si="1"/>
        <v>STK_PRIX</v>
      </c>
    </row>
    <row r="94" spans="1:8" x14ac:dyDescent="0.35">
      <c r="A94" t="s">
        <v>92</v>
      </c>
      <c r="B94" t="s">
        <v>198</v>
      </c>
      <c r="C94" t="s">
        <v>218</v>
      </c>
      <c r="D94" t="s">
        <v>238</v>
      </c>
      <c r="E94" t="b">
        <v>0</v>
      </c>
      <c r="F94" t="b">
        <v>0</v>
      </c>
      <c r="G94" t="s">
        <v>264</v>
      </c>
      <c r="H94" t="str">
        <f t="shared" si="1"/>
        <v>STK_PROP</v>
      </c>
    </row>
    <row r="95" spans="1:8" x14ac:dyDescent="0.35">
      <c r="A95" t="s">
        <v>93</v>
      </c>
      <c r="B95" t="s">
        <v>199</v>
      </c>
      <c r="C95" t="s">
        <v>223</v>
      </c>
      <c r="D95" t="s">
        <v>241</v>
      </c>
      <c r="E95" t="b">
        <v>0</v>
      </c>
      <c r="F95" t="b">
        <v>0</v>
      </c>
      <c r="G95" t="s">
        <v>264</v>
      </c>
      <c r="H95" t="str">
        <f t="shared" si="1"/>
        <v>STK_PRQT</v>
      </c>
    </row>
    <row r="96" spans="1:8" x14ac:dyDescent="0.35">
      <c r="A96" t="s">
        <v>94</v>
      </c>
      <c r="B96" t="s">
        <v>200</v>
      </c>
      <c r="C96" t="s">
        <v>217</v>
      </c>
      <c r="D96" t="s">
        <v>237</v>
      </c>
      <c r="E96" t="b">
        <v>0</v>
      </c>
      <c r="F96" t="b">
        <v>0</v>
      </c>
      <c r="G96" t="s">
        <v>264</v>
      </c>
      <c r="H96" t="str">
        <f t="shared" si="1"/>
        <v>STK_QIIV</v>
      </c>
    </row>
    <row r="97" spans="1:8" x14ac:dyDescent="0.35">
      <c r="A97" t="s">
        <v>95</v>
      </c>
      <c r="B97" t="s">
        <v>201</v>
      </c>
      <c r="C97" t="s">
        <v>217</v>
      </c>
      <c r="D97" t="s">
        <v>237</v>
      </c>
      <c r="E97" t="b">
        <v>0</v>
      </c>
      <c r="F97" t="b">
        <v>0</v>
      </c>
      <c r="G97" t="s">
        <v>264</v>
      </c>
      <c r="H97" t="str">
        <f t="shared" si="1"/>
        <v>STK_QIRE</v>
      </c>
    </row>
    <row r="98" spans="1:8" x14ac:dyDescent="0.35">
      <c r="A98" t="s">
        <v>96</v>
      </c>
      <c r="B98" t="s">
        <v>202</v>
      </c>
      <c r="C98" t="s">
        <v>217</v>
      </c>
      <c r="D98" t="s">
        <v>237</v>
      </c>
      <c r="E98" t="b">
        <v>0</v>
      </c>
      <c r="F98" t="b">
        <v>0</v>
      </c>
      <c r="G98" t="s">
        <v>264</v>
      </c>
      <c r="H98" t="str">
        <f t="shared" si="1"/>
        <v>STK_QIRG</v>
      </c>
    </row>
    <row r="99" spans="1:8" x14ac:dyDescent="0.35">
      <c r="A99" t="s">
        <v>97</v>
      </c>
      <c r="B99" t="s">
        <v>203</v>
      </c>
      <c r="C99" t="s">
        <v>234</v>
      </c>
      <c r="D99" t="s">
        <v>234</v>
      </c>
      <c r="E99" t="b">
        <v>0</v>
      </c>
      <c r="F99" t="b">
        <v>0</v>
      </c>
      <c r="G99" t="s">
        <v>264</v>
      </c>
      <c r="H99" t="str">
        <f t="shared" si="1"/>
        <v>STK_QTE</v>
      </c>
    </row>
    <row r="100" spans="1:8" x14ac:dyDescent="0.35">
      <c r="A100" t="s">
        <v>98</v>
      </c>
      <c r="B100" t="s">
        <v>204</v>
      </c>
      <c r="C100" t="s">
        <v>234</v>
      </c>
      <c r="D100" t="s">
        <v>234</v>
      </c>
      <c r="E100" t="b">
        <v>0</v>
      </c>
      <c r="F100" t="b">
        <v>0</v>
      </c>
      <c r="G100" t="s">
        <v>264</v>
      </c>
      <c r="H100" t="str">
        <f t="shared" si="1"/>
        <v>STK_QTPE</v>
      </c>
    </row>
    <row r="101" spans="1:8" x14ac:dyDescent="0.35">
      <c r="A101" t="s">
        <v>99</v>
      </c>
      <c r="B101" t="s">
        <v>205</v>
      </c>
      <c r="C101" t="s">
        <v>225</v>
      </c>
      <c r="D101" t="s">
        <v>244</v>
      </c>
      <c r="E101" t="b">
        <v>0</v>
      </c>
      <c r="F101" t="b">
        <v>1</v>
      </c>
      <c r="G101" t="s">
        <v>269</v>
      </c>
      <c r="H101" t="s">
        <v>271</v>
      </c>
    </row>
    <row r="102" spans="1:8" x14ac:dyDescent="0.35">
      <c r="A102" t="s">
        <v>100</v>
      </c>
      <c r="B102" t="s">
        <v>206</v>
      </c>
      <c r="C102" t="s">
        <v>222</v>
      </c>
      <c r="D102" t="s">
        <v>242</v>
      </c>
      <c r="E102" t="b">
        <v>0</v>
      </c>
      <c r="F102" t="b">
        <v>0</v>
      </c>
      <c r="G102" t="s">
        <v>264</v>
      </c>
      <c r="H102" t="str">
        <f t="shared" si="1"/>
        <v>STK_RFAF</v>
      </c>
    </row>
    <row r="103" spans="1:8" x14ac:dyDescent="0.35">
      <c r="A103" t="s">
        <v>101</v>
      </c>
      <c r="B103" t="s">
        <v>207</v>
      </c>
      <c r="C103" t="s">
        <v>224</v>
      </c>
      <c r="D103" t="s">
        <v>243</v>
      </c>
      <c r="E103" t="b">
        <v>0</v>
      </c>
      <c r="F103" t="b">
        <v>0</v>
      </c>
      <c r="G103" t="s">
        <v>264</v>
      </c>
      <c r="H103" t="str">
        <f t="shared" si="1"/>
        <v>STK_RSTK</v>
      </c>
    </row>
    <row r="104" spans="1:8" x14ac:dyDescent="0.35">
      <c r="A104" t="s">
        <v>102</v>
      </c>
      <c r="B104" t="s">
        <v>208</v>
      </c>
      <c r="C104" t="s">
        <v>220</v>
      </c>
      <c r="D104" t="s">
        <v>240</v>
      </c>
      <c r="E104" t="b">
        <v>0</v>
      </c>
      <c r="F104" t="b">
        <v>0</v>
      </c>
      <c r="G104" t="s">
        <v>264</v>
      </c>
      <c r="H104" t="str">
        <f t="shared" si="1"/>
        <v>STK_RSUC</v>
      </c>
    </row>
    <row r="105" spans="1:8" x14ac:dyDescent="0.35">
      <c r="A105" t="s">
        <v>103</v>
      </c>
      <c r="B105" t="s">
        <v>209</v>
      </c>
      <c r="C105" t="s">
        <v>223</v>
      </c>
      <c r="D105" t="s">
        <v>241</v>
      </c>
      <c r="E105" t="b">
        <v>0</v>
      </c>
      <c r="F105" t="b">
        <v>0</v>
      </c>
      <c r="G105" t="s">
        <v>264</v>
      </c>
      <c r="H105" t="str">
        <f t="shared" si="1"/>
        <v>STK_RTRF</v>
      </c>
    </row>
    <row r="106" spans="1:8" x14ac:dyDescent="0.35">
      <c r="A106" t="s">
        <v>104</v>
      </c>
      <c r="B106" t="s">
        <v>210</v>
      </c>
      <c r="C106" t="s">
        <v>224</v>
      </c>
      <c r="D106" t="s">
        <v>243</v>
      </c>
      <c r="E106" t="b">
        <v>0</v>
      </c>
      <c r="F106" t="b">
        <v>0</v>
      </c>
      <c r="G106" t="s">
        <v>264</v>
      </c>
      <c r="H106" t="str">
        <f t="shared" si="1"/>
        <v>STK_SSUP</v>
      </c>
    </row>
    <row r="107" spans="1:8" x14ac:dyDescent="0.35">
      <c r="A107" t="s">
        <v>105</v>
      </c>
      <c r="B107" t="s">
        <v>211</v>
      </c>
      <c r="C107" t="s">
        <v>222</v>
      </c>
      <c r="D107" t="s">
        <v>242</v>
      </c>
      <c r="E107" t="b">
        <v>0</v>
      </c>
      <c r="F107" t="b">
        <v>0</v>
      </c>
      <c r="G107" t="s">
        <v>264</v>
      </c>
      <c r="H107" t="str">
        <f t="shared" si="1"/>
        <v>STK_SURG</v>
      </c>
    </row>
    <row r="108" spans="1:8" x14ac:dyDescent="0.35">
      <c r="A108" t="s">
        <v>106</v>
      </c>
      <c r="B108" t="s">
        <v>212</v>
      </c>
      <c r="C108" t="s">
        <v>235</v>
      </c>
      <c r="D108" t="s">
        <v>253</v>
      </c>
      <c r="E108" t="b">
        <v>0</v>
      </c>
      <c r="F108" t="b">
        <v>0</v>
      </c>
      <c r="G108" t="s">
        <v>264</v>
      </c>
      <c r="H108" t="str">
        <f t="shared" si="1"/>
        <v>STK_TOP1-5</v>
      </c>
    </row>
    <row r="109" spans="1:8" x14ac:dyDescent="0.35">
      <c r="A109" t="s">
        <v>107</v>
      </c>
      <c r="B109" t="s">
        <v>213</v>
      </c>
      <c r="C109" t="s">
        <v>235</v>
      </c>
      <c r="D109" t="s">
        <v>253</v>
      </c>
      <c r="E109" t="b">
        <v>0</v>
      </c>
      <c r="F109" t="b">
        <v>0</v>
      </c>
      <c r="G109" t="s">
        <v>264</v>
      </c>
      <c r="H109" t="str">
        <f t="shared" si="1"/>
        <v>STK_TRCH</v>
      </c>
    </row>
    <row r="110" spans="1:8" x14ac:dyDescent="0.35">
      <c r="A110" t="s">
        <v>108</v>
      </c>
      <c r="B110" t="s">
        <v>214</v>
      </c>
      <c r="C110" t="s">
        <v>232</v>
      </c>
      <c r="D110" t="s">
        <v>251</v>
      </c>
      <c r="E110" t="b">
        <v>0</v>
      </c>
      <c r="F110" t="b">
        <v>0</v>
      </c>
      <c r="G110" t="s">
        <v>264</v>
      </c>
      <c r="H110" t="str">
        <f t="shared" si="1"/>
        <v>STK_ZONE</v>
      </c>
    </row>
    <row r="111" spans="1:8" x14ac:dyDescent="0.35">
      <c r="A111" t="s">
        <v>109</v>
      </c>
      <c r="B111" t="s">
        <v>215</v>
      </c>
      <c r="C111" t="s">
        <v>232</v>
      </c>
      <c r="D111" t="s">
        <v>251</v>
      </c>
      <c r="E111" t="b">
        <v>0</v>
      </c>
      <c r="F111" t="b">
        <v>0</v>
      </c>
      <c r="G111" t="s">
        <v>264</v>
      </c>
      <c r="H111" t="str">
        <f t="shared" si="1"/>
        <v>STK_ZONP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2026-06-17T08:59:34+00:00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394F2E3F-BE95-4982-A3D5-30CD3B4E5A58}"/>
</file>

<file path=customXml/itemProps2.xml><?xml version="1.0" encoding="utf-8"?>
<ds:datastoreItem xmlns:ds="http://schemas.openxmlformats.org/officeDocument/2006/customXml" ds:itemID="{D07495DA-675B-4DBA-AFD8-9FDA4B125FD0}"/>
</file>

<file path=customXml/itemProps3.xml><?xml version="1.0" encoding="utf-8"?>
<ds:datastoreItem xmlns:ds="http://schemas.openxmlformats.org/officeDocument/2006/customXml" ds:itemID="{29CF4FB7-1FE6-46FD-A7C9-5BA57FAFE9E8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Waseela Salim (AGL)</dc:creator>
  <cp:lastModifiedBy>Kgathola Puka (AGL)</cp:lastModifiedBy>
  <dcterms:created xsi:type="dcterms:W3CDTF">2026-02-13T09:20:45Z</dcterms:created>
  <dcterms:modified xsi:type="dcterms:W3CDTF">2026-03-02T09:46:52Z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